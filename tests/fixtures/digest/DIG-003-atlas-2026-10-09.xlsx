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Attività" sheetId="2" state="visible" r:id="rId4"/>
    <sheet name="Ore lavorate" sheetId="3" state="visible" r:id="rId5"/>
    <sheet name="Come leggerl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<sst xmlns="http://schemas.openxmlformats.org/spreadsheetml/2006/main" count="409" uniqueCount="256">
  <si>
    <t xml:space="preserve">ATLAS · stato del rilascio al 09/10/2026</t>
  </si>
  <si>
    <t xml:space="preserve">1. A che punto siamo</t>
  </si>
  <si>
    <t xml:space="preserve">Consegna concordata</t>
  </si>
  <si>
    <t xml:space="preserve">Consegna prevista oggi</t>
  </si>
  <si>
    <t xml:space="preserve">Ritardo</t>
  </si>
  <si>
    <t xml:space="preserve">La previsione vale solo se</t>
  </si>
  <si>
    <t xml:space="preserve">Dove va il tempo</t>
  </si>
  <si>
    <t xml:space="preserve">2. Calcolo stima consegna</t>
  </si>
  <si>
    <t xml:space="preserve">Caso</t>
  </si>
  <si>
    <t xml:space="preserve">Voci che mancano</t>
  </si>
  <si>
    <t xml:space="preserve">Ore stimate che mancano</t>
  </si>
  <si>
    <t xml:space="preserve">Ore lavorate al giorno (media ultimi 3 giorni)</t>
  </si>
  <si>
    <t xml:space="preserve">meno ore fuori perimetro</t>
  </si>
  <si>
    <t xml:space="preserve">meno ore fuori dal prodotto</t>
  </si>
  <si>
    <t xml:space="preserve">Ore al giorno per il rilascio</t>
  </si>
  <si>
    <t xml:space="preserve">Giorni lavorativi necessari</t>
  </si>
  <si>
    <t xml:space="preserve">Consegna prevista</t>
  </si>
  <si>
    <t xml:space="preserve">Ritardo sulla consegna concordata</t>
  </si>
  <si>
    <t xml:space="preserve">Caso migliore</t>
  </si>
  <si>
    <t xml:space="preserve">Caso peggiore</t>
  </si>
  <si>
    <t xml:space="preserve">3. Cosa serve da altri</t>
  </si>
  <si>
    <t xml:space="preserve">Cosa serve</t>
  </si>
  <si>
    <t xml:space="preserve">Da chi</t>
  </si>
  <si>
    <t xml:space="preserve">Richiesto il</t>
  </si>
  <si>
    <t xml:space="preserve">Giorni di attesa</t>
  </si>
  <si>
    <t xml:space="preserve">Serve entro</t>
  </si>
  <si>
    <t xml:space="preserve">Stato</t>
  </si>
  <si>
    <t xml:space="preserve">Voci bloccate</t>
  </si>
  <si>
    <t xml:space="preserve">Cosa succede se manca</t>
  </si>
  <si>
    <t xml:space="preserve">Risposta sul registro delle immagini</t>
  </si>
  <si>
    <t xml:space="preserve">team infrastruttura</t>
  </si>
  <si>
    <t xml:space="preserve">CHG-022</t>
  </si>
  <si>
    <t xml:space="preserve">le versioni non si possono costruire e rilasciare in automatico.</t>
  </si>
  <si>
    <t xml:space="preserve">Ambiente preprod</t>
  </si>
  <si>
    <t xml:space="preserve">CHG-024</t>
  </si>
  <si>
    <t xml:space="preserve">le modifiche non si possono verificare né chiudere, e la stima non vale più.</t>
  </si>
  <si>
    <t xml:space="preserve">Domande di benchmark</t>
  </si>
  <si>
    <t xml:space="preserve">team funzionale</t>
  </si>
  <si>
    <t xml:space="preserve">nessuna</t>
  </si>
  <si>
    <t xml:space="preserve">la qualità delle risposte non si può valutare in modo oggettivo prima del rilascio.</t>
  </si>
  <si>
    <t xml:space="preserve">Glossario delle metriche</t>
  </si>
  <si>
    <t xml:space="preserve">nessuna (rallenta OD-109)</t>
  </si>
  <si>
    <t xml:space="preserve">gli indicatori restano definiti a ipotesi e vanno rivisti dopo il rilascio.</t>
  </si>
  <si>
    <t xml:space="preserve">4. Avanzamento per tema</t>
  </si>
  <si>
    <t xml:space="preserve">Voci fatte</t>
  </si>
  <si>
    <t xml:space="preserve">Voci da fare</t>
  </si>
  <si>
    <t xml:space="preserve">Tema</t>
  </si>
  <si>
    <t xml:space="preserve">Finora</t>
  </si>
  <si>
    <t xml:space="preserve">Nell'aggiornamento precedente (06/10)</t>
  </si>
  <si>
    <t xml:space="preserve">In questo aggiornamento (07/10 e 08/10)</t>
  </si>
  <si>
    <t xml:space="preserve">Da fare oggi</t>
  </si>
  <si>
    <t xml:space="preserve">Variazione dall'aggiornamento precedente</t>
  </si>
  <si>
    <t xml:space="preserve">Ore stimate da fare</t>
  </si>
  <si>
    <t xml:space="preserve">Architettura</t>
  </si>
  <si>
    <t xml:space="preserve">Sviluppo</t>
  </si>
  <si>
    <t xml:space="preserve">Deploy</t>
  </si>
  <si>
    <t xml:space="preserve">Totale</t>
  </si>
  <si>
    <t xml:space="preserve">5. Ripartizione delle ore di progetto</t>
  </si>
  <si>
    <t xml:space="preserve">Tipo di ore</t>
  </si>
  <si>
    <t xml:space="preserve">Oggi (media ultimi 7 giorni)</t>
  </si>
  <si>
    <t xml:space="preserve">Ottimale per consegnare il 13/10</t>
  </si>
  <si>
    <t xml:space="preserve">Differenza</t>
  </si>
  <si>
    <t xml:space="preserve">Fuori perimetro</t>
  </si>
  <si>
    <t xml:space="preserve">Fuori dal prodotto</t>
  </si>
  <si>
    <t xml:space="preserve">Attività</t>
  </si>
  <si>
    <t xml:space="preserve">1. Prossimi giorni</t>
  </si>
  <si>
    <t xml:space="preserve">Voce</t>
  </si>
  <si>
    <t xml:space="preserve">Titolo</t>
  </si>
  <si>
    <t xml:space="preserve">Tipo</t>
  </si>
  <si>
    <t xml:space="preserve">Taglia</t>
  </si>
  <si>
    <t xml:space="preserve">Ore stimate</t>
  </si>
  <si>
    <t xml:space="preserve">Ore effettive</t>
  </si>
  <si>
    <t xml:space="preserve">Che cos'è</t>
  </si>
  <si>
    <t xml:space="preserve">CHG-018</t>
  </si>
  <si>
    <t xml:space="preserve">isolamento dei dati per cliente</t>
  </si>
  <si>
    <t xml:space="preserve">Modifica al prodotto</t>
  </si>
  <si>
    <t xml:space="preserve">L</t>
  </si>
  <si>
    <t xml:space="preserve">tra 6 e 12 ore</t>
  </si>
  <si>
    <t xml:space="preserve">In programma il 09/10, 5 ore: prosegue, chiusura prevista il 12/10</t>
  </si>
  <si>
    <t xml:space="preserve">ogni cliente ha un archivio dati separato e il sistema apre solo quello indicato dal permesso di accesso dell'utente.</t>
  </si>
  <si>
    <t xml:space="preserve">In programma il 12/10, 2 ore: chiusura</t>
  </si>
  <si>
    <t xml:space="preserve">OD-120</t>
  </si>
  <si>
    <t xml:space="preserve">formati dei dati in ingresso</t>
  </si>
  <si>
    <t xml:space="preserve">Decisione da prendere</t>
  </si>
  <si>
    <t xml:space="preserve">In programma il 12/10, 3 ore: inizio, prosegue nei giorni successivi</t>
  </si>
  <si>
    <t xml:space="preserve">quali formati di file lo strumento di caricamento deve saper leggere.</t>
  </si>
  <si>
    <t xml:space="preserve">2. Da fare nel perimetro del rilascio</t>
  </si>
  <si>
    <t xml:space="preserve">In corso: 4 ore già lavorate</t>
  </si>
  <si>
    <t xml:space="preserve">Da iniziare</t>
  </si>
  <si>
    <t xml:space="preserve">OD-121</t>
  </si>
  <si>
    <t xml:space="preserve">frequenza dei caricamenti</t>
  </si>
  <si>
    <t xml:space="preserve">ogni quanto vengono caricati i dati dei clienti, e quindi quanto sono recenti.</t>
  </si>
  <si>
    <t xml:space="preserve">OD-109</t>
  </si>
  <si>
    <t xml:space="preserve">risposta alle domande non coperte</t>
  </si>
  <si>
    <t xml:space="preserve">Rallentata: manca il glossario delle metriche</t>
  </si>
  <si>
    <t xml:space="preserve">come si comporta il sistema davanti a una domanda a cui non sa rispondere con un numero garantito: rifiuta, avvisa o risponde comunque.</t>
  </si>
  <si>
    <t xml:space="preserve">OD-115</t>
  </si>
  <si>
    <t xml:space="preserve">formato dei messaggi di errore</t>
  </si>
  <si>
    <t xml:space="preserve">S</t>
  </si>
  <si>
    <t xml:space="preserve">tra 1 e 2 ore</t>
  </si>
  <si>
    <t xml:space="preserve">cosa vede l'utente quando una richiesta non va a buon fine, e quali dettagli tecnici restano solo nei log.</t>
  </si>
  <si>
    <t xml:space="preserve">etichette di versione per il rilascio</t>
  </si>
  <si>
    <t xml:space="preserve">Bloccata: manca la risposta sul registro delle immagini</t>
  </si>
  <si>
    <t xml:space="preserve">l'etichetta di versione che fa partire in automatico la costruzione e il rilascio in un ambiente.</t>
  </si>
  <si>
    <t xml:space="preserve">primo rilascio in preprod</t>
  </si>
  <si>
    <t xml:space="preserve">M</t>
  </si>
  <si>
    <t xml:space="preserve">tra 3 e 5 ore</t>
  </si>
  <si>
    <t xml:space="preserve">Bloccata: manca l'ambiente preprod</t>
  </si>
  <si>
    <t xml:space="preserve">la prima installazione della nuova versione nell'ambiente di prova che replica la produzione, dove si verifica prima di rilasciare.</t>
  </si>
  <si>
    <t xml:space="preserve">3. Fatto nel perimetro del rilascio</t>
  </si>
  <si>
    <t xml:space="preserve">CHG-012</t>
  </si>
  <si>
    <t xml:space="preserve">repository unica</t>
  </si>
  <si>
    <t xml:space="preserve">Chiusa il 24/09</t>
  </si>
  <si>
    <t xml:space="preserve">il codice di più repository separate riunito in una sola, con una struttura che permette di estrarne un componente senza riscriverlo.</t>
  </si>
  <si>
    <t xml:space="preserve">DEC-019</t>
  </si>
  <si>
    <t xml:space="preserve">un archivio dati per cliente</t>
  </si>
  <si>
    <t xml:space="preserve">Decisione presa</t>
  </si>
  <si>
    <t xml:space="preserve">XL</t>
  </si>
  <si>
    <t xml:space="preserve">tra 13 e 40 ore</t>
  </si>
  <si>
    <t xml:space="preserve">Chiusa il 29/09</t>
  </si>
  <si>
    <t xml:space="preserve">ogni cliente ha un archivio fisicamente separato, invece di un archivio unico filtrato per cliente.</t>
  </si>
  <si>
    <t xml:space="preserve">CHG-015</t>
  </si>
  <si>
    <t xml:space="preserve">login con servizio esterno</t>
  </si>
  <si>
    <t xml:space="preserve">Chiusa il 01/10</t>
  </si>
  <si>
    <t xml:space="preserve">l'autenticazione degli utenti affidata a un servizio esterno specializzato, invece di gestire le password in proprio.</t>
  </si>
  <si>
    <t xml:space="preserve">DEC-026</t>
  </si>
  <si>
    <t xml:space="preserve">come il sistema capisce quale indicatore gli viene chiesto</t>
  </si>
  <si>
    <t xml:space="preserve">Chiusa il 06/10, chiude OD-114</t>
  </si>
  <si>
    <t xml:space="preserve">la regola con cui una domanda in linguaggio naturale viene ricondotta a un indicatore definito, da cui dipende che il numero in risposta sia quello giusto.</t>
  </si>
  <si>
    <t xml:space="preserve">CHG-017</t>
  </si>
  <si>
    <t xml:space="preserve">scambio del permesso di accesso al login</t>
  </si>
  <si>
    <t xml:space="preserve">Chiusa il 06/10</t>
  </si>
  <si>
    <t xml:space="preserve">dopo il login il sistema rilascia un proprio permesso che indica a quale cliente appartiene l'utente, ed è ciò che impedisce a un cliente di vedere i dati di un altro.</t>
  </si>
  <si>
    <t xml:space="preserve">CHG-019</t>
  </si>
  <si>
    <t xml:space="preserve">flusso di rilascio</t>
  </si>
  <si>
    <t xml:space="preserve">la sequenza fissa di passi con cui una versione del codice arriva in un ambiente, senza interventi manuali che cambiano ogni volta.</t>
  </si>
  <si>
    <t xml:space="preserve">KI-013</t>
  </si>
  <si>
    <t xml:space="preserve">tempo massimo superato sulle domande lunghe</t>
  </si>
  <si>
    <t xml:space="preserve">Problema noto</t>
  </si>
  <si>
    <t xml:space="preserve">Risolto il 07/10</t>
  </si>
  <si>
    <t xml:space="preserve">le domande che richiedono molti passaggi di calcolo superavano il tempo massimo e l'utente non riceveva risposta.</t>
  </si>
  <si>
    <t xml:space="preserve">4. Fuori perimetro</t>
  </si>
  <si>
    <t xml:space="preserve">CHG-021</t>
  </si>
  <si>
    <t xml:space="preserve">avviso di caricamento in corso</t>
  </si>
  <si>
    <t xml:space="preserve">Fuori perimetro dal 09/10: nessuna risposta sulla decisione OD-116, applicato il default</t>
  </si>
  <si>
    <t xml:space="preserve">quando un caricamento dati è in corso la richiesta attende per un tempo limitato e poi avvisa l'utente di riprovare, invece di restituire dati incompleti.</t>
  </si>
  <si>
    <t xml:space="preserve">OD-076</t>
  </si>
  <si>
    <t xml:space="preserve">custodia del permesso di accesso lato server</t>
  </si>
  <si>
    <t xml:space="preserve">da stimare</t>
  </si>
  <si>
    <t xml:space="preserve">Fuori perimetro: miglioria di sicurezza prevista dopo il rilascio</t>
  </si>
  <si>
    <t xml:space="preserve">spostare la custodia del permesso dal browser a un componente lato server, per ridurre l'esposizione in caso di attacco al browser.</t>
  </si>
  <si>
    <t xml:space="preserve">INC-040</t>
  </si>
  <si>
    <t xml:space="preserve">servizio condiviso per i permessi di accesso</t>
  </si>
  <si>
    <t xml:space="preserve">Evoluzione futura</t>
  </si>
  <si>
    <t xml:space="preserve">Fuori perimetro: serve quando ci sarà un secondo prodotto</t>
  </si>
  <si>
    <t xml:space="preserve">un unico servizio che rilascia i permessi per tutti i prodotti, al posto del modulo interno a un solo prodotto.</t>
  </si>
  <si>
    <t xml:space="preserve">INC-041</t>
  </si>
  <si>
    <t xml:space="preserve">rilevamento delle anomalie</t>
  </si>
  <si>
    <t xml:space="preserve">Fuori perimetro: previsto nell'architettura futura</t>
  </si>
  <si>
    <t xml:space="preserve">segnalazione automatica dei valori che si discostano dall'andamento atteso.</t>
  </si>
  <si>
    <t xml:space="preserve">Non entrano nella stima</t>
  </si>
  <si>
    <t xml:space="preserve">Ore effettive: solo per le voci chiuse. Le ore lavorate sulle voci aperte sono nella colonna Stato.</t>
  </si>
  <si>
    <t xml:space="preserve">Ore lavorate</t>
  </si>
  <si>
    <t xml:space="preserve">1. Ore per periodo</t>
  </si>
  <si>
    <t xml:space="preserve">Periodo</t>
  </si>
  <si>
    <t xml:space="preserve">Dal</t>
  </si>
  <si>
    <t xml:space="preserve">Al</t>
  </si>
  <si>
    <t xml:space="preserve">Ore totali</t>
  </si>
  <si>
    <t xml:space="preserve">Media al giorno sul rilascio</t>
  </si>
  <si>
    <t xml:space="preserve">Ultimi 3 giorni lavorativi</t>
  </si>
  <si>
    <t xml:space="preserve">Ultimi 7 giorni</t>
  </si>
  <si>
    <t xml:space="preserve">Ultimi 30 giorni</t>
  </si>
  <si>
    <t xml:space="preserve">Dall'inizio del progetto</t>
  </si>
  <si>
    <t xml:space="preserve">2. Come si dividono le ore, in percentuale</t>
  </si>
  <si>
    <t xml:space="preserve">3. Dove vanno le ore fuori dal prodotto</t>
  </si>
  <si>
    <t xml:space="preserve">Categoria</t>
  </si>
  <si>
    <t xml:space="preserve">Ore dall'inizio</t>
  </si>
  <si>
    <t xml:space="preserve">Supporto alla demo e alla produzione</t>
  </si>
  <si>
    <t xml:space="preserve">Reportistica e presentazioni di stato</t>
  </si>
  <si>
    <t xml:space="preserve">Riunioni</t>
  </si>
  <si>
    <t xml:space="preserve">Solleciti e accessi infrastruttura</t>
  </si>
  <si>
    <t xml:space="preserve">Formazione del junior</t>
  </si>
  <si>
    <t xml:space="preserve">4. Giorno per giorno, dall'inizio del progetto</t>
  </si>
  <si>
    <t xml:space="preserve">Sul rilascio</t>
  </si>
  <si>
    <t xml:space="preserve">di cui fuori dal prodotto</t>
  </si>
  <si>
    <t xml:space="preserve">Giorno</t>
  </si>
  <si>
    <t xml:space="preserve">Data</t>
  </si>
  <si>
    <t xml:space="preserve">Supporto</t>
  </si>
  <si>
    <t xml:space="preserve">Reportistica</t>
  </si>
  <si>
    <t xml:space="preserve">Solleciti</t>
  </si>
  <si>
    <t xml:space="preserve">Formazione</t>
  </si>
  <si>
    <t xml:space="preserve">mar 22/09</t>
  </si>
  <si>
    <t xml:space="preserve">mer 23/09</t>
  </si>
  <si>
    <t xml:space="preserve">gio 24/09</t>
  </si>
  <si>
    <t xml:space="preserve">ven 25/09</t>
  </si>
  <si>
    <t xml:space="preserve">sab 26/09</t>
  </si>
  <si>
    <t xml:space="preserve">dom 27/09</t>
  </si>
  <si>
    <t xml:space="preserve">lun 28/09</t>
  </si>
  <si>
    <t xml:space="preserve">mar 29/09</t>
  </si>
  <si>
    <t xml:space="preserve">mer 30/09</t>
  </si>
  <si>
    <t xml:space="preserve">gio 01/10</t>
  </si>
  <si>
    <t xml:space="preserve">ven 02/10</t>
  </si>
  <si>
    <t xml:space="preserve">sab 03/10</t>
  </si>
  <si>
    <t xml:space="preserve">dom 04/10</t>
  </si>
  <si>
    <t xml:space="preserve">lun 05/10</t>
  </si>
  <si>
    <t xml:space="preserve">mar 06/10</t>
  </si>
  <si>
    <t xml:space="preserve">mer 07/10</t>
  </si>
  <si>
    <t xml:space="preserve">gio 08/10</t>
  </si>
  <si>
    <t xml:space="preserve">I giorni in rosso sono sabato e domenica.</t>
  </si>
  <si>
    <t xml:space="preserve">Come leggere questo file</t>
  </si>
  <si>
    <t xml:space="preserve">Date di riferimento</t>
  </si>
  <si>
    <t xml:space="preserve">Data di questo aggiornamento</t>
  </si>
  <si>
    <t xml:space="preserve">Aggiornamento precedente</t>
  </si>
  <si>
    <t xml:space="preserve">Inizio del progetto</t>
  </si>
  <si>
    <t xml:space="preserve">Prossimo aggiornamento</t>
  </si>
  <si>
    <t xml:space="preserve">Tipi di voce</t>
  </si>
  <si>
    <t xml:space="preserve">Decisione da prendere (OD)</t>
  </si>
  <si>
    <t xml:space="preserve">Una scelta tecnica ancora aperta. Finché non è presa, il lavoro che dipende da lei non può partire.</t>
  </si>
  <si>
    <t xml:space="preserve">Decisione presa (DEC)</t>
  </si>
  <si>
    <t xml:space="preserve">Una scelta tecnica chiusa e messa per iscritto.</t>
  </si>
  <si>
    <t xml:space="preserve">Modifica al prodotto (CHG)</t>
  </si>
  <si>
    <t xml:space="preserve">Un intervento autorizzato sul codice o sugli ambienti.</t>
  </si>
  <si>
    <t xml:space="preserve">Problema noto (KI)</t>
  </si>
  <si>
    <t xml:space="preserve">Un difetto conosciuto, da correggere.</t>
  </si>
  <si>
    <t xml:space="preserve">Evoluzione futura (INC)</t>
  </si>
  <si>
    <t xml:space="preserve">Una capacità prevista per dopo questo rilascio.</t>
  </si>
  <si>
    <t xml:space="preserve">Taglie (stima delle ore per una voce)</t>
  </si>
  <si>
    <t xml:space="preserve">da 1 a 2 ore</t>
  </si>
  <si>
    <t xml:space="preserve">da 3 a 5 ore</t>
  </si>
  <si>
    <t xml:space="preserve">da 6 a 12 ore</t>
  </si>
  <si>
    <t xml:space="preserve">da 13 a 40 ore. Troppo grande per essere stimata bene: va spezzata in voci più piccole.</t>
  </si>
  <si>
    <t xml:space="preserve">Stati di una voce da fare</t>
  </si>
  <si>
    <t xml:space="preserve">Pronta, aspetta il suo turno.</t>
  </si>
  <si>
    <t xml:space="preserve">In corso</t>
  </si>
  <si>
    <t xml:space="preserve">Ci sto lavorando.</t>
  </si>
  <si>
    <t xml:space="preserve">Rallentata</t>
  </si>
  <si>
    <t xml:space="preserve">Si può fare, ma senza qualcosa che deve arrivare da altri il risultato andrà rivisto.</t>
  </si>
  <si>
    <t xml:space="preserve">Bloccata</t>
  </si>
  <si>
    <t xml:space="preserve">Non si può fare finché non arriva qualcosa da altri. Il motivo è sempre scritto accanto.</t>
  </si>
  <si>
    <t xml:space="preserve">Tipi di ore</t>
  </si>
  <si>
    <t xml:space="preserve">Decidere come è fatto il sistema: scelte tecniche, disegno, prove per decidere.</t>
  </si>
  <si>
    <t xml:space="preserve">Scrivere e correggere il codice del prodotto.</t>
  </si>
  <si>
    <t xml:space="preserve">Portare il prodotto negli ambienti: costruzione delle versioni, rilascio, configurazione.</t>
  </si>
  <si>
    <t xml:space="preserve">Lavoro sul prodotto, ma su voci previste per dopo questo rilascio.</t>
  </si>
  <si>
    <t xml:space="preserve">Riunioni, reportistica, supporto alla demo e alla produzione, formazione, solleciti.</t>
  </si>
  <si>
    <t xml:space="preserve">Regole dei numeri</t>
  </si>
  <si>
    <t xml:space="preserve">Perimetro</t>
  </si>
  <si>
    <t xml:space="preserve">Ciò che deve esserci nel rilascio concordato. Le voci fuori perimetro sono elencate ma non entrano nella stima.</t>
  </si>
  <si>
    <t xml:space="preserve">Sono sempre un intervallo, dalla somma delle taglie più piccole a quella delle più grandi.</t>
  </si>
  <si>
    <t xml:space="preserve">Voci in corso</t>
  </si>
  <si>
    <t xml:space="preserve">Una voce resta stimata per intero finché non si chiude. Le ore già spese sono indicate a parte.</t>
  </si>
  <si>
    <t xml:space="preserve">Stima di consegna</t>
  </si>
  <si>
    <t xml:space="preserve">Spiegata nel Riepilogo, al punto 2.</t>
  </si>
  <si>
    <t xml:space="preserve">Domande e chiarimenti</t>
  </si>
  <si>
    <t xml:space="preserve">Come chiedere</t>
  </si>
  <si>
    <t xml:space="preserve">Per un dubbio su una riga, un commento sulla cella o una mail: rispondo per iscritto entro il giorno lavorativo successivo.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</si>
</sst>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;\-0.0;0"/>
    <numFmt numFmtId="167" formatCode="0.0"/>
    <numFmt numFmtId="168" formatCode="dd/mm/yyyy"/>
    <numFmt numFmtId="169" formatCode="0&quot; giorni lavorativi&quot;"/>
    <numFmt numFmtId="170" formatCode="\+0;\-0;0"/>
    <numFmt numFmtId="171" formatCode="0%"/>
    <numFmt numFmtId="172" formatCode="\+0%;\-0%;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  <font>
      <sz val="10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8CBAD"/>
        <bgColor rgb="FFFCE4D6"/>
      </patternFill>
    </fill>
    <fill>
      <patternFill patternType="solid">
        <fgColor rgb="FF1F3864"/>
        <bgColor rgb="FF4A3AA7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CE4D6"/>
      <rgbColor rgb="FF99CCFF"/>
      <rgbColor rgb="FFFF99CC"/>
      <rgbColor rgb="FFCC99FF"/>
      <rgbColor rgb="FFF8CBAD"/>
      <rgbColor rgb="FF2A78D6"/>
      <rgbColor rgb="FF33CCCC"/>
      <rgbColor rgb="FF99CC00"/>
      <rgbColor rgb="FFFFCC00"/>
      <rgbColor rgb="FFEDA100"/>
      <rgbColor rgb="FFEB6834"/>
      <rgbColor rgb="FF4F81BD"/>
      <rgbColor rgb="FF969696"/>
      <rgbColor rgb="FF1F3864"/>
      <rgbColor rgb="FF1BAF7A"/>
      <rgbColor rgb="FF003300"/>
      <rgbColor rgb="FF333300"/>
      <rgbColor rgb="FF993300"/>
      <rgbColor rgb="FF993366"/>
      <rgbColor rgb="FF4A3AA7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Oggi (media ultimi 7 giorni)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Riepilogo!B31</c:f>
              <c:strCache>
                <c:ptCount val="1"/>
                <c:pt idx="0">
                  <c:v>Oggi (media ultimi 7 giorni)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da100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4a3aa7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Riepilogo!$A$32:$A$36</c:f>
              <c:strCache>
                <c:ptCount val="5"/>
                <c:pt idx="0">
                  <c:v>Architettura</c:v>
                </c:pt>
                <c:pt idx="1">
                  <c:v>Sviluppo</c:v>
                </c:pt>
                <c:pt idx="2">
                  <c:v>Deploy</c:v>
                </c:pt>
                <c:pt idx="3">
                  <c:v>Fuori perimetro</c:v>
                </c:pt>
                <c:pt idx="4">
                  <c:v>Fuori dal prodotto</c:v>
                </c:pt>
              </c:strCache>
            </c:strRef>
          </c:cat>
          <c:val>
            <c:numRef>
              <c:f>Riepilogo!$B$32:$B$36</c:f>
              <c:numCache>
                <c:formatCode>0%</c:formatCode>
                <c:ptCount val="5"/>
                <c:pt idx="0">
                  <c:v>0.103092783505155</c:v>
                </c:pt>
                <c:pt idx="1">
                  <c:v>0.185567010309278</c:v>
                </c:pt>
                <c:pt idx="2">
                  <c:v>0.0309278350515464</c:v>
                </c:pt>
                <c:pt idx="3">
                  <c:v>0.0206185567010309</c:v>
                </c:pt>
                <c:pt idx="4">
                  <c:v>0.65979381443299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Ottimale per consegnare il 13/10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Riepilogo!C31</c:f>
              <c:strCache>
                <c:ptCount val="1"/>
                <c:pt idx="0">
                  <c:v>Ottimale per consegnare il 13/10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da100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4a3aa7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Riepilogo!$A$32:$A$36</c:f>
              <c:strCache>
                <c:ptCount val="5"/>
                <c:pt idx="0">
                  <c:v>Architettura</c:v>
                </c:pt>
                <c:pt idx="1">
                  <c:v>Sviluppo</c:v>
                </c:pt>
                <c:pt idx="2">
                  <c:v>Deploy</c:v>
                </c:pt>
                <c:pt idx="3">
                  <c:v>Fuori perimetro</c:v>
                </c:pt>
                <c:pt idx="4">
                  <c:v>Fuori dal prodotto</c:v>
                </c:pt>
              </c:strCache>
            </c:strRef>
          </c:cat>
          <c:val>
            <c:numRef>
              <c:f>Riepilogo!$C$32:$C$36</c:f>
              <c:numCache>
                <c:formatCode>0%</c:formatCode>
                <c:ptCount val="5"/>
                <c:pt idx="0">
                  <c:v>0.652920962199313</c:v>
                </c:pt>
                <c:pt idx="1">
                  <c:v>0.206185567010309</c:v>
                </c:pt>
                <c:pt idx="2">
                  <c:v>0.13745704467354</c:v>
                </c:pt>
                <c:pt idx="3">
                  <c:v>0.000104134124752681</c:v>
                </c:pt>
                <c:pt idx="4">
                  <c:v>0.0033322919920858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130680</xdr:rowOff>
    </xdr:from>
    <xdr:to>
      <xdr:col>2</xdr:col>
      <xdr:colOff>1045800</xdr:colOff>
      <xdr:row>55</xdr:row>
      <xdr:rowOff>163440</xdr:rowOff>
    </xdr:to>
    <xdr:graphicFrame>
      <xdr:nvGraphicFramePr>
        <xdr:cNvPr id="0" name="Chart 1"/>
        <xdr:cNvGraphicFramePr/>
      </xdr:nvGraphicFramePr>
      <xdr:xfrm>
        <a:off x="0" y="1056312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41</xdr:row>
      <xdr:rowOff>130680</xdr:rowOff>
    </xdr:from>
    <xdr:to>
      <xdr:col>8</xdr:col>
      <xdr:colOff>200160</xdr:colOff>
      <xdr:row>55</xdr:row>
      <xdr:rowOff>163440</xdr:rowOff>
    </xdr:to>
    <xdr:graphicFrame>
      <xdr:nvGraphicFramePr>
        <xdr:cNvPr id="1" name="Chart 2"/>
        <xdr:cNvGraphicFramePr/>
      </xdr:nvGraphicFramePr>
      <xdr:xfrm>
        <a:off x="5850360" y="1056312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4" min="3" style="0" width="17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5"/>
    <col collapsed="false" customWidth="true" hidden="false" outlineLevel="0" max="10" min="10" style="0" width="1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4" hidden="false" customHeight="true" outlineLevel="0" collapsed="false">
      <c r="A4" s="3" t="s">
        <v>2</v>
      </c>
      <c r="B4" s="4" t="str">
        <f aca="false">TEXT(DAY('Come leggerlo'!$B$6),"00")&amp;"/"&amp;TEXT(MONTH('Come leggerlo'!$B$6),"00")&amp;"/"&amp;YEAR('Come leggerlo'!$B$6)</f>
        <v>13/10/2026</v>
      </c>
      <c r="C4" s="4"/>
      <c r="D4" s="4"/>
      <c r="E4" s="4"/>
      <c r="F4" s="4"/>
      <c r="G4" s="4"/>
      <c r="H4" s="4"/>
      <c r="I4" s="4"/>
      <c r="J4" s="4"/>
    </row>
    <row r="5" customFormat="false" ht="24" hidden="false" customHeight="true" outlineLevel="0" collapsed="false">
      <c r="A5" s="3" t="s">
        <v>3</v>
      </c>
      <c r="B5" s="4" t="str">
        <f aca="false">"tra il "&amp;TEXT(DAY(I12),"00")&amp;"/"&amp;TEXT(MONTH(I12),"00")&amp;" e il "&amp;TEXT(DAY(I13),"00")&amp;"/"&amp;TEXT(MONTH(I13),"00")</f>
        <v>tra il 16/10 e il 23/10</v>
      </c>
      <c r="C5" s="4"/>
      <c r="D5" s="4"/>
      <c r="E5" s="4"/>
      <c r="F5" s="4"/>
      <c r="G5" s="4"/>
      <c r="H5" s="4"/>
      <c r="I5" s="4"/>
      <c r="J5" s="4"/>
    </row>
    <row r="6" customFormat="false" ht="24" hidden="false" customHeight="true" outlineLevel="0" collapsed="false">
      <c r="A6" s="3" t="s">
        <v>4</v>
      </c>
      <c r="B6" s="5" t="str">
        <f aca="false">IF(J13=0,"nessuno","da "&amp;J12&amp;" a "&amp;J13&amp;" giorni lavorativi")</f>
        <v>da 3 a 8 giorni lavorativi</v>
      </c>
      <c r="C6" s="5"/>
      <c r="D6" s="5"/>
      <c r="E6" s="5"/>
      <c r="F6" s="5"/>
      <c r="G6" s="5"/>
      <c r="H6" s="5"/>
      <c r="I6" s="5"/>
      <c r="J6" s="5"/>
    </row>
    <row r="7" customFormat="false" ht="30" hidden="false" customHeight="true" outlineLevel="0" collapsed="false">
      <c r="A7" s="3" t="s">
        <v>5</v>
      </c>
      <c r="B7" s="6" t="str">
        <f aca="false">"arrivano in tempo le "&amp;ROWS($F$17:$F$20)&amp;" cose richieste ad altri (punto 3). Oggi "&amp;(COUNTIF($F$17:$F$20,"SCADUTA*")+COUNTIF($F$17:$F$20,"Scade oggi"))&amp;" sono scadute o scadono oggi."</f>
        <v>arrivano in tempo le 4 cose richieste ad altri (punto 3). Oggi 2 sono scadute o scadono oggi.</v>
      </c>
      <c r="C7" s="6"/>
      <c r="D7" s="6"/>
      <c r="E7" s="6"/>
      <c r="F7" s="6"/>
      <c r="G7" s="6"/>
      <c r="H7" s="6"/>
      <c r="I7" s="6"/>
      <c r="J7" s="6"/>
    </row>
    <row r="8" customFormat="false" ht="30" hidden="false" customHeight="true" outlineLevel="0" collapsed="false">
      <c r="A8" s="3" t="s">
        <v>6</v>
      </c>
      <c r="B8" s="6" t="str">
        <f aca="false">"Dall'inizio del progetto "&amp;(ROUND('Ore lavorate'!E8,0)+ROUND('Ore lavorate'!F8,0)+ROUND('Ore lavorate'!G8,0)+ROUND('Ore lavorate'!H8,0)+ROUND('Ore lavorate'!I8,0))&amp;" ore lavorate: "&amp;ROUND('Ore lavorate'!E8,0)&amp;" architettura, "&amp;ROUND('Ore lavorate'!F8,0)&amp;" sviluppo, "&amp;ROUND('Ore lavorate'!G8,0)&amp;" deploy, "&amp;ROUND('Ore lavorate'!H8,0)&amp;" fuori perimetro, "&amp;ROUND('Ore lavorate'!I8,0)&amp;" fuori dal prodotto ("&amp;ROUND('Ore lavorate'!I15*100,0)&amp;"%: riunioni, reportistica, supporto, formazione)."</f>
        <v>Dall'inizio del progetto 119 ore lavorate: 19 architettura, 29 sviluppo, 2 deploy, 1 fuori perimetro, 68 fuori dal prodotto (57%: riunioni, reportistica, supporto, formazione).</v>
      </c>
      <c r="C8" s="6"/>
      <c r="D8" s="6"/>
      <c r="E8" s="6"/>
      <c r="F8" s="6"/>
      <c r="G8" s="6"/>
      <c r="H8" s="6"/>
      <c r="I8" s="6"/>
      <c r="J8" s="6"/>
    </row>
    <row r="10" customFormat="false" ht="15" hidden="false" customHeight="false" outlineLevel="0" collapsed="false">
      <c r="A10" s="2" t="s">
        <v>7</v>
      </c>
    </row>
    <row r="11" customFormat="false" ht="43.5" hidden="false" customHeight="true" outlineLevel="0" collapsed="false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  <c r="H11" s="7" t="s">
        <v>15</v>
      </c>
      <c r="I11" s="7" t="s">
        <v>16</v>
      </c>
      <c r="J11" s="7" t="s">
        <v>17</v>
      </c>
    </row>
    <row r="12" customFormat="false" ht="15" hidden="false" customHeight="false" outlineLevel="0" collapsed="false">
      <c r="A12" s="8" t="s">
        <v>18</v>
      </c>
      <c r="B12" s="9" t="n">
        <f aca="false">COUNTA(Attività!$A$12:$A$18)</f>
        <v>7</v>
      </c>
      <c r="C12" s="10" t="n">
        <f aca="false">SUMPRODUCT(((Attività!$E$12:$E$18="S")*1+(Attività!$E$12:$E$18="M")*3+(Attività!$E$12:$E$18="L")*6+(Attività!$E$12:$E$18="XL")*13))</f>
        <v>29</v>
      </c>
      <c r="D12" s="11" t="n">
        <f aca="false">ROUND('Ore lavorate'!$D$5/NETWORKDAYS('Ore lavorate'!$B$5,'Ore lavorate'!$C$5),1)</f>
        <v>8.5</v>
      </c>
      <c r="E12" s="11" t="n">
        <f aca="false">ROUND('Ore lavorate'!$H$5/NETWORKDAYS('Ore lavorate'!$B$5,'Ore lavorate'!$C$5),1)</f>
        <v>0.3</v>
      </c>
      <c r="F12" s="11" t="n">
        <f aca="false">ROUND('Ore lavorate'!$I$5/NETWORKDAYS('Ore lavorate'!$B$5,'Ore lavorate'!$C$5),1)</f>
        <v>3</v>
      </c>
      <c r="G12" s="12" t="n">
        <f aca="false">D12-E12-F12</f>
        <v>5.2</v>
      </c>
      <c r="H12" s="13" t="n">
        <f aca="false">ROUNDUP(C12/G12,0)</f>
        <v>6</v>
      </c>
      <c r="I12" s="14" t="n">
        <f aca="false">WORKDAY('Come leggerlo'!$B$4-1,H12)</f>
        <v>46311</v>
      </c>
      <c r="J12" s="15" t="n">
        <f aca="false">IF(I12&gt;'Come leggerlo'!$B$6,NETWORKDAYS('Come leggerlo'!$B$6+1,I12),0)</f>
        <v>3</v>
      </c>
    </row>
    <row r="13" customFormat="false" ht="15" hidden="false" customHeight="false" outlineLevel="0" collapsed="false">
      <c r="A13" s="8" t="s">
        <v>19</v>
      </c>
      <c r="B13" s="9" t="n">
        <f aca="false">COUNTA(Attività!$A$12:$A$18)</f>
        <v>7</v>
      </c>
      <c r="C13" s="10" t="n">
        <f aca="false">SUMPRODUCT(((Attività!$E$12:$E$18="S")*2+(Attività!$E$12:$E$18="M")*5+(Attività!$E$12:$E$18="L")*12+(Attività!$E$12:$E$18="XL")*40))</f>
        <v>57</v>
      </c>
      <c r="D13" s="11" t="n">
        <f aca="false">ROUND('Ore lavorate'!$D$5/NETWORKDAYS('Ore lavorate'!$B$5,'Ore lavorate'!$C$5),1)</f>
        <v>8.5</v>
      </c>
      <c r="E13" s="11" t="n">
        <f aca="false">ROUND('Ore lavorate'!$H$5/NETWORKDAYS('Ore lavorate'!$B$5,'Ore lavorate'!$C$5),1)</f>
        <v>0.3</v>
      </c>
      <c r="F13" s="11" t="n">
        <f aca="false">ROUND('Ore lavorate'!$I$5/NETWORKDAYS('Ore lavorate'!$B$5,'Ore lavorate'!$C$5),1)</f>
        <v>3</v>
      </c>
      <c r="G13" s="12" t="n">
        <f aca="false">D13-E13-F13</f>
        <v>5.2</v>
      </c>
      <c r="H13" s="13" t="n">
        <f aca="false">ROUNDUP(C13/G13,0)</f>
        <v>11</v>
      </c>
      <c r="I13" s="14" t="n">
        <f aca="false">WORKDAY('Come leggerlo'!$B$4-1,H13)</f>
        <v>46318</v>
      </c>
      <c r="J13" s="15" t="n">
        <f aca="false">IF(I13&gt;'Come leggerlo'!$B$6,NETWORKDAYS('Come leggerlo'!$B$6+1,I13),0)</f>
        <v>8</v>
      </c>
    </row>
    <row r="15" customFormat="false" ht="15" hidden="false" customHeight="false" outlineLevel="0" collapsed="false">
      <c r="A15" s="2" t="s">
        <v>20</v>
      </c>
    </row>
    <row r="16" customFormat="false" ht="15" hidden="false" customHeight="true" outlineLevel="0" collapsed="false">
      <c r="A16" s="7" t="s">
        <v>21</v>
      </c>
      <c r="B16" s="7" t="s">
        <v>22</v>
      </c>
      <c r="C16" s="7" t="s">
        <v>23</v>
      </c>
      <c r="D16" s="7" t="s">
        <v>24</v>
      </c>
      <c r="E16" s="7" t="s">
        <v>25</v>
      </c>
      <c r="F16" s="7" t="s">
        <v>26</v>
      </c>
      <c r="G16" s="7" t="s">
        <v>27</v>
      </c>
      <c r="H16" s="7" t="s">
        <v>28</v>
      </c>
      <c r="I16" s="7"/>
      <c r="J16" s="7"/>
    </row>
    <row r="17" customFormat="false" ht="27.75" hidden="false" customHeight="true" outlineLevel="0" collapsed="false">
      <c r="A17" s="8" t="s">
        <v>29</v>
      </c>
      <c r="B17" s="16" t="s">
        <v>30</v>
      </c>
      <c r="C17" s="17" t="n">
        <v>46296</v>
      </c>
      <c r="D17" s="9" t="n">
        <f aca="false">'Come leggerlo'!$B$4-C17</f>
        <v>8</v>
      </c>
      <c r="E17" s="17" t="n">
        <v>46302</v>
      </c>
      <c r="F17" s="8" t="str">
        <f aca="false">IF(E17&lt;'Come leggerlo'!$B$4,"SCADUTA da "&amp;('Come leggerlo'!$B$4-E17)&amp;IF('Come leggerlo'!$B$4-E17=1," giorno"," giorni"),IF(E17='Come leggerlo'!$B$4,"Scade oggi","Entro "&amp;(E17-'Come leggerlo'!$B$4)&amp;IF(E17-'Come leggerlo'!$B$4=1," giorno"," giorni")))</f>
        <v>SCADUTA da 2 giorni</v>
      </c>
      <c r="G17" s="16" t="s">
        <v>31</v>
      </c>
      <c r="H17" s="18" t="s">
        <v>32</v>
      </c>
      <c r="I17" s="18"/>
      <c r="J17" s="18"/>
    </row>
    <row r="18" customFormat="false" ht="27.75" hidden="false" customHeight="true" outlineLevel="0" collapsed="false">
      <c r="A18" s="8" t="s">
        <v>33</v>
      </c>
      <c r="B18" s="16" t="s">
        <v>30</v>
      </c>
      <c r="C18" s="17" t="n">
        <v>46290</v>
      </c>
      <c r="D18" s="9" t="n">
        <f aca="false">'Come leggerlo'!$B$4-C18</f>
        <v>14</v>
      </c>
      <c r="E18" s="17" t="n">
        <v>46304</v>
      </c>
      <c r="F18" s="8" t="str">
        <f aca="false">IF(E18&lt;'Come leggerlo'!$B$4,"SCADUTA da "&amp;('Come leggerlo'!$B$4-E18)&amp;IF('Come leggerlo'!$B$4-E18=1," giorno"," giorni"),IF(E18='Come leggerlo'!$B$4,"Scade oggi","Entro "&amp;(E18-'Come leggerlo'!$B$4)&amp;IF(E18-'Come leggerlo'!$B$4=1," giorno"," giorni")))</f>
        <v>Scade oggi</v>
      </c>
      <c r="G18" s="16" t="s">
        <v>34</v>
      </c>
      <c r="H18" s="18" t="s">
        <v>35</v>
      </c>
      <c r="I18" s="18"/>
      <c r="J18" s="18"/>
    </row>
    <row r="19" customFormat="false" ht="27.75" hidden="false" customHeight="true" outlineLevel="0" collapsed="false">
      <c r="A19" s="8" t="s">
        <v>36</v>
      </c>
      <c r="B19" s="16" t="s">
        <v>37</v>
      </c>
      <c r="C19" s="17" t="n">
        <v>46287</v>
      </c>
      <c r="D19" s="9" t="n">
        <f aca="false">'Come leggerlo'!$B$4-C19</f>
        <v>17</v>
      </c>
      <c r="E19" s="17" t="n">
        <v>46305</v>
      </c>
      <c r="F19" s="8" t="str">
        <f aca="false">IF(E19&lt;'Come leggerlo'!$B$4,"SCADUTA da "&amp;('Come leggerlo'!$B$4-E19)&amp;IF('Come leggerlo'!$B$4-E19=1," giorno"," giorni"),IF(E19='Come leggerlo'!$B$4,"Scade oggi","Entro "&amp;(E19-'Come leggerlo'!$B$4)&amp;IF(E19-'Come leggerlo'!$B$4=1," giorno"," giorni")))</f>
        <v>Entro 1 giorno</v>
      </c>
      <c r="G19" s="16" t="s">
        <v>38</v>
      </c>
      <c r="H19" s="18" t="s">
        <v>39</v>
      </c>
      <c r="I19" s="18"/>
      <c r="J19" s="18"/>
    </row>
    <row r="20" customFormat="false" ht="27.75" hidden="false" customHeight="true" outlineLevel="0" collapsed="false">
      <c r="A20" s="8" t="s">
        <v>40</v>
      </c>
      <c r="B20" s="16" t="s">
        <v>37</v>
      </c>
      <c r="C20" s="17" t="n">
        <v>46287</v>
      </c>
      <c r="D20" s="9" t="n">
        <f aca="false">'Come leggerlo'!$B$4-C20</f>
        <v>17</v>
      </c>
      <c r="E20" s="17" t="n">
        <v>46305</v>
      </c>
      <c r="F20" s="8" t="str">
        <f aca="false">IF(E20&lt;'Come leggerlo'!$B$4,"SCADUTA da "&amp;('Come leggerlo'!$B$4-E20)&amp;IF('Come leggerlo'!$B$4-E20=1," giorno"," giorni"),IF(E20='Come leggerlo'!$B$4,"Scade oggi","Entro "&amp;(E20-'Come leggerlo'!$B$4)&amp;IF(E20-'Come leggerlo'!$B$4=1," giorno"," giorni")))</f>
        <v>Entro 1 giorno</v>
      </c>
      <c r="G20" s="16" t="s">
        <v>41</v>
      </c>
      <c r="H20" s="18" t="s">
        <v>42</v>
      </c>
      <c r="I20" s="18"/>
      <c r="J20" s="18"/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19"/>
      <c r="B23" s="20" t="s">
        <v>44</v>
      </c>
      <c r="C23" s="20"/>
      <c r="D23" s="20"/>
      <c r="E23" s="20" t="s">
        <v>45</v>
      </c>
      <c r="F23" s="20"/>
      <c r="G23" s="20"/>
    </row>
    <row r="24" customFormat="false" ht="45.75" hidden="false" customHeight="true" outlineLevel="0" collapsed="false">
      <c r="A24" s="7" t="s">
        <v>46</v>
      </c>
      <c r="B24" s="7" t="s">
        <v>47</v>
      </c>
      <c r="C24" s="7" t="s">
        <v>48</v>
      </c>
      <c r="D24" s="7" t="s">
        <v>49</v>
      </c>
      <c r="E24" s="7" t="s">
        <v>50</v>
      </c>
      <c r="F24" s="7" t="s">
        <v>51</v>
      </c>
      <c r="G24" s="7" t="s">
        <v>52</v>
      </c>
    </row>
    <row r="25" customFormat="false" ht="15" hidden="false" customHeight="false" outlineLevel="0" collapsed="false">
      <c r="A25" s="8" t="s">
        <v>53</v>
      </c>
      <c r="B25" s="9" t="n">
        <f aca="false">COUNTIF(Attività!$C$24:$C$30,A25)</f>
        <v>2</v>
      </c>
      <c r="C25" s="9" t="n">
        <v>1</v>
      </c>
      <c r="D25" s="21" t="n">
        <v>0</v>
      </c>
      <c r="E25" s="9" t="n">
        <f aca="false">COUNTIF(Attività!$C$12:$C$18,A25)</f>
        <v>4</v>
      </c>
      <c r="F25" s="22" t="n">
        <f aca="false">E25-3</f>
        <v>1</v>
      </c>
      <c r="G25" s="16" t="str">
        <f aca="false">"tra "&amp;ROUND(SUMPRODUCT((Attività!$C$12:$C$18=A25)*((Attività!$E$12:$E$18="S")*1+(Attività!$E$12:$E$18="M")*3+(Attività!$E$12:$E$18="L")*6+(Attività!$E$12:$E$18="XL")*13)),1)&amp;" e "&amp;ROUND(SUMPRODUCT((Attività!$C$12:$C$18=A25)*((Attività!$E$12:$E$18="S")*2+(Attività!$E$12:$E$18="M")*5+(Attività!$E$12:$E$18="L")*12+(Attività!$E$12:$E$18="XL")*40)),1)&amp;" ore"</f>
        <v>tra 19 e 38 ore</v>
      </c>
    </row>
    <row r="26" customFormat="false" ht="15" hidden="false" customHeight="false" outlineLevel="0" collapsed="false">
      <c r="A26" s="8" t="s">
        <v>54</v>
      </c>
      <c r="B26" s="9" t="n">
        <f aca="false">COUNTIF(Attività!$C$24:$C$30,A26)</f>
        <v>4</v>
      </c>
      <c r="C26" s="9" t="n">
        <v>1</v>
      </c>
      <c r="D26" s="21" t="n">
        <v>1</v>
      </c>
      <c r="E26" s="9" t="n">
        <f aca="false">COUNTIF(Attività!$C$12:$C$18,A26)</f>
        <v>1</v>
      </c>
      <c r="F26" s="22" t="n">
        <f aca="false">E26-3</f>
        <v>-2</v>
      </c>
      <c r="G26" s="16" t="str">
        <f aca="false">"tra "&amp;ROUND(SUMPRODUCT((Attività!$C$12:$C$18=A26)*((Attività!$E$12:$E$18="S")*1+(Attività!$E$12:$E$18="M")*3+(Attività!$E$12:$E$18="L")*6+(Attività!$E$12:$E$18="XL")*13)),1)&amp;" e "&amp;ROUND(SUMPRODUCT((Attività!$C$12:$C$18=A26)*((Attività!$E$12:$E$18="S")*2+(Attività!$E$12:$E$18="M")*5+(Attività!$E$12:$E$18="L")*12+(Attività!$E$12:$E$18="XL")*40)),1)&amp;" ore"</f>
        <v>tra 6 e 12 ore</v>
      </c>
    </row>
    <row r="27" customFormat="false" ht="15" hidden="false" customHeight="false" outlineLevel="0" collapsed="false">
      <c r="A27" s="8" t="s">
        <v>55</v>
      </c>
      <c r="B27" s="9" t="n">
        <f aca="false">COUNTIF(Attività!$C$24:$C$30,A27)</f>
        <v>1</v>
      </c>
      <c r="C27" s="9" t="n">
        <v>1</v>
      </c>
      <c r="D27" s="21" t="n">
        <v>0</v>
      </c>
      <c r="E27" s="9" t="n">
        <f aca="false">COUNTIF(Attività!$C$12:$C$18,A27)</f>
        <v>2</v>
      </c>
      <c r="F27" s="22" t="n">
        <f aca="false">E27-2</f>
        <v>0</v>
      </c>
      <c r="G27" s="16" t="str">
        <f aca="false">"tra "&amp;ROUND(SUMPRODUCT((Attività!$C$12:$C$18=A27)*((Attività!$E$12:$E$18="S")*1+(Attività!$E$12:$E$18="M")*3+(Attività!$E$12:$E$18="L")*6+(Attività!$E$12:$E$18="XL")*13)),1)&amp;" e "&amp;ROUND(SUMPRODUCT((Attività!$C$12:$C$18=A27)*((Attività!$E$12:$E$18="S")*2+(Attività!$E$12:$E$18="M")*5+(Attività!$E$12:$E$18="L")*12+(Attività!$E$12:$E$18="XL")*40)),1)&amp;" ore"</f>
        <v>tra 4 e 7 ore</v>
      </c>
    </row>
    <row r="28" customFormat="false" ht="15" hidden="false" customHeight="false" outlineLevel="0" collapsed="false">
      <c r="A28" s="23" t="s">
        <v>56</v>
      </c>
      <c r="B28" s="24" t="n">
        <f aca="false">SUM(B25:B27)</f>
        <v>7</v>
      </c>
      <c r="C28" s="24" t="n">
        <f aca="false">SUM(C25:C27)</f>
        <v>3</v>
      </c>
      <c r="D28" s="24" t="n">
        <f aca="false">SUM(D25:D27)</f>
        <v>1</v>
      </c>
      <c r="E28" s="24" t="n">
        <f aca="false">SUM(E25:E27)</f>
        <v>7</v>
      </c>
      <c r="F28" s="25" t="n">
        <f aca="false">SUM(F25:F27)</f>
        <v>-1</v>
      </c>
      <c r="G28" s="23" t="str">
        <f aca="false">"tra "&amp;ROUND(SUMPRODUCT(((Attività!$E$12:$E$18="S")*1+(Attività!$E$12:$E$18="M")*3+(Attività!$E$12:$E$18="L")*6+(Attività!$E$12:$E$18="XL")*13)),1)&amp;" e "&amp;ROUND(SUMPRODUCT(((Attività!$E$12:$E$18="S")*2+(Attività!$E$12:$E$18="M")*5+(Attività!$E$12:$E$18="L")*12+(Attività!$E$12:$E$18="XL")*40)),1)&amp;" ore"</f>
        <v>tra 29 e 57 ore</v>
      </c>
    </row>
    <row r="30" customFormat="false" ht="15" hidden="false" customHeight="false" outlineLevel="0" collapsed="false">
      <c r="A30" s="2" t="s">
        <v>57</v>
      </c>
    </row>
    <row r="31" customFormat="false" ht="43.5" hidden="false" customHeight="true" outlineLevel="0" collapsed="false">
      <c r="A31" s="7" t="s">
        <v>58</v>
      </c>
      <c r="B31" s="7" t="s">
        <v>59</v>
      </c>
      <c r="C31" s="7" t="s">
        <v>60</v>
      </c>
      <c r="D31" s="7" t="s">
        <v>61</v>
      </c>
    </row>
    <row r="32" customFormat="false" ht="15.75" hidden="false" customHeight="true" outlineLevel="0" collapsed="false">
      <c r="A32" s="8" t="s">
        <v>53</v>
      </c>
      <c r="B32" s="26" t="n">
        <f aca="false">'Ore lavorate'!$E$13</f>
        <v>0.103092783505155</v>
      </c>
      <c r="C32" s="26" t="n">
        <f aca="false">IF(SUMPRODUCT(((Attività!$E$12:$E$18="S")*1+(Attività!$E$12:$E$18="M")*3+(Attività!$E$12:$E$18="L")*6+(Attività!$E$12:$E$18="XL")*13))=0,0,MIN(1,(SUMPRODUCT(((Attività!$E$12:$E$18="S")*1+(Attività!$E$12:$E$18="M")*3+(Attività!$E$12:$E$18="L")*6+(Attività!$E$12:$E$18="XL")*13))/MAX(1,NETWORKDAYS('Come leggerlo'!$B$4,'Come leggerlo'!$B$6)))/('Ore lavorate'!$D$6/NETWORKDAYS('Ore lavorate'!$B$6,'Ore lavorate'!$C$6)))*SUMPRODUCT((Attività!$C$12:$C$18="Architettura")*((Attività!$E$12:$E$18="S")*1+(Attività!$E$12:$E$18="M")*3+(Attività!$E$12:$E$18="L")*6+(Attività!$E$12:$E$18="XL")*13))/SUMPRODUCT(((Attività!$E$12:$E$18="S")*1+(Attività!$E$12:$E$18="M")*3+(Attività!$E$12:$E$18="L")*6+(Attività!$E$12:$E$18="XL")*13)))</f>
        <v>0.652920962199313</v>
      </c>
      <c r="D32" s="27" t="n">
        <f aca="false">C32-B32</f>
        <v>0.549828178694158</v>
      </c>
    </row>
    <row r="33" customFormat="false" ht="15.75" hidden="false" customHeight="true" outlineLevel="0" collapsed="false">
      <c r="A33" s="8" t="s">
        <v>54</v>
      </c>
      <c r="B33" s="26" t="n">
        <f aca="false">'Ore lavorate'!$F$13</f>
        <v>0.185567010309278</v>
      </c>
      <c r="C33" s="26" t="n">
        <f aca="false">IF(SUMPRODUCT(((Attività!$E$12:$E$18="S")*1+(Attività!$E$12:$E$18="M")*3+(Attività!$E$12:$E$18="L")*6+(Attività!$E$12:$E$18="XL")*13))=0,0,MIN(1,(SUMPRODUCT(((Attività!$E$12:$E$18="S")*1+(Attività!$E$12:$E$18="M")*3+(Attività!$E$12:$E$18="L")*6+(Attività!$E$12:$E$18="XL")*13))/MAX(1,NETWORKDAYS('Come leggerlo'!$B$4,'Come leggerlo'!$B$6)))/('Ore lavorate'!$D$6/NETWORKDAYS('Ore lavorate'!$B$6,'Ore lavorate'!$C$6)))*SUMPRODUCT((Attività!$C$12:$C$18="Sviluppo")*((Attività!$E$12:$E$18="S")*1+(Attività!$E$12:$E$18="M")*3+(Attività!$E$12:$E$18="L")*6+(Attività!$E$12:$E$18="XL")*13))/SUMPRODUCT(((Attività!$E$12:$E$18="S")*1+(Attività!$E$12:$E$18="M")*3+(Attività!$E$12:$E$18="L")*6+(Attività!$E$12:$E$18="XL")*13)))</f>
        <v>0.206185567010309</v>
      </c>
      <c r="D33" s="27" t="n">
        <f aca="false">C33-B33</f>
        <v>0.0206185567010309</v>
      </c>
    </row>
    <row r="34" customFormat="false" ht="15.75" hidden="false" customHeight="true" outlineLevel="0" collapsed="false">
      <c r="A34" s="8" t="s">
        <v>55</v>
      </c>
      <c r="B34" s="26" t="n">
        <f aca="false">'Ore lavorate'!$G$13</f>
        <v>0.0309278350515464</v>
      </c>
      <c r="C34" s="26" t="n">
        <f aca="false">IF(SUMPRODUCT(((Attività!$E$12:$E$18="S")*1+(Attività!$E$12:$E$18="M")*3+(Attività!$E$12:$E$18="L")*6+(Attività!$E$12:$E$18="XL")*13))=0,0,MIN(1,(SUMPRODUCT(((Attività!$E$12:$E$18="S")*1+(Attività!$E$12:$E$18="M")*3+(Attività!$E$12:$E$18="L")*6+(Attività!$E$12:$E$18="XL")*13))/MAX(1,NETWORKDAYS('Come leggerlo'!$B$4,'Come leggerlo'!$B$6)))/('Ore lavorate'!$D$6/NETWORKDAYS('Ore lavorate'!$B$6,'Ore lavorate'!$C$6)))*SUMPRODUCT((Attività!$C$12:$C$18="Deploy")*((Attività!$E$12:$E$18="S")*1+(Attività!$E$12:$E$18="M")*3+(Attività!$E$12:$E$18="L")*6+(Attività!$E$12:$E$18="XL")*13))/SUMPRODUCT(((Attività!$E$12:$E$18="S")*1+(Attività!$E$12:$E$18="M")*3+(Attività!$E$12:$E$18="L")*6+(Attività!$E$12:$E$18="XL")*13)))</f>
        <v>0.13745704467354</v>
      </c>
      <c r="D34" s="27" t="n">
        <f aca="false">C34-B34</f>
        <v>0.106529209621993</v>
      </c>
    </row>
    <row r="35" customFormat="false" ht="15.75" hidden="false" customHeight="true" outlineLevel="0" collapsed="false">
      <c r="A35" s="8" t="s">
        <v>62</v>
      </c>
      <c r="B35" s="26" t="n">
        <f aca="false">'Ore lavorate'!$H$13</f>
        <v>0.0206185567010309</v>
      </c>
      <c r="C35" s="26" t="n">
        <f aca="false">IF(('Ore lavorate'!$H$13+'Ore lavorate'!$I$13)=0,0,(1-MIN(1,(SUMPRODUCT(((Attività!$E$12:$E$18="S")*1+(Attività!$E$12:$E$18="M")*3+(Attività!$E$12:$E$18="L")*6+(Attività!$E$12:$E$18="XL")*13))/MAX(1,NETWORKDAYS('Come leggerlo'!$B$4,'Come leggerlo'!$B$6)))/('Ore lavorate'!$D$6/NETWORKDAYS('Ore lavorate'!$B$6,'Ore lavorate'!$C$6))))*'Ore lavorate'!$H$13/('Ore lavorate'!$H$13+'Ore lavorate'!$I$13))</f>
        <v>0.000104134124752681</v>
      </c>
      <c r="D35" s="27" t="n">
        <f aca="false">C35-B35</f>
        <v>-0.0205144225762782</v>
      </c>
    </row>
    <row r="36" customFormat="false" ht="15.75" hidden="false" customHeight="true" outlineLevel="0" collapsed="false">
      <c r="A36" s="8" t="s">
        <v>63</v>
      </c>
      <c r="B36" s="26" t="n">
        <f aca="false">'Ore lavorate'!$I$13</f>
        <v>0.65979381443299</v>
      </c>
      <c r="C36" s="26" t="n">
        <f aca="false">IF(('Ore lavorate'!$H$13+'Ore lavorate'!$I$13)=0,0,(1-MIN(1,(SUMPRODUCT(((Attività!$E$12:$E$18="S")*1+(Attività!$E$12:$E$18="M")*3+(Attività!$E$12:$E$18="L")*6+(Attività!$E$12:$E$18="XL")*13))/MAX(1,NETWORKDAYS('Come leggerlo'!$B$4,'Come leggerlo'!$B$6)))/('Ore lavorate'!$D$6/NETWORKDAYS('Ore lavorate'!$B$6,'Ore lavorate'!$C$6))))*'Ore lavorate'!$I$13/('Ore lavorate'!$H$13+'Ore lavorate'!$I$13))</f>
        <v>0.0033322919920858</v>
      </c>
      <c r="D36" s="27" t="n">
        <f aca="false">C36-B36</f>
        <v>-0.656461522440904</v>
      </c>
    </row>
    <row r="37" customFormat="false" ht="15.75" hidden="false" customHeight="true" outlineLevel="0" collapsed="false">
      <c r="A37" s="23" t="s">
        <v>56</v>
      </c>
      <c r="B37" s="28" t="n">
        <f aca="false">SUM(B32:B36)</f>
        <v>1</v>
      </c>
      <c r="C37" s="28" t="n">
        <f aca="false">SUM(C32:C36)</f>
        <v>1</v>
      </c>
      <c r="D37" s="29"/>
    </row>
    <row r="38" customFormat="false" ht="15.75" hidden="false" customHeight="true" outlineLevel="0" collapsed="false"/>
    <row r="39" customFormat="false" ht="15.75" hidden="false" customHeight="true" outlineLevel="0" collapsed="false"/>
  </sheetData>
  <sheetProtection sheet="true"/>
  <mergeCells count="12">
    <mergeCell ref="B4:J4"/>
    <mergeCell ref="B5:J5"/>
    <mergeCell ref="B6:J6"/>
    <mergeCell ref="B7:J7"/>
    <mergeCell ref="B8:J8"/>
    <mergeCell ref="H16:J16"/>
    <mergeCell ref="H17:J17"/>
    <mergeCell ref="H18:J18"/>
    <mergeCell ref="H19:J19"/>
    <mergeCell ref="H20:J20"/>
    <mergeCell ref="B23:D23"/>
    <mergeCell ref="E23:G23"/>
  </mergeCells>
  <conditionalFormatting sqref="F17:F20">
    <cfRule type="expression" priority="2" aboveAverage="0" equalAverage="0" bottom="0" percent="0" rank="0" text="" dxfId="0">
      <formula>LEFT($F17,7)="SCADUTA"</formula>
    </cfRule>
    <cfRule type="expression" priority="3" aboveAverage="0" equalAverage="0" bottom="0" percent="0" rank="0" text="" dxfId="1">
      <formula>$F17="Scade oggi"</formula>
    </cfRule>
  </conditionalFormatting>
  <conditionalFormatting sqref="D32:D36">
    <cfRule type="expression" priority="4" aboveAverage="0" equalAverage="0" bottom="0" percent="0" rank="0" text="" dxfId="2">
      <formula>$D32&lt;-0.05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42"/>
    <col collapsed="false" customWidth="true" hidden="false" outlineLevel="0" max="9" min="9" style="0" width="62"/>
  </cols>
  <sheetData>
    <row r="1" customFormat="false" ht="19.7" hidden="false" customHeight="false" outlineLevel="0" collapsed="false">
      <c r="A1" s="1" t="s">
        <v>64</v>
      </c>
    </row>
    <row r="3" customFormat="false" ht="15" hidden="false" customHeight="false" outlineLevel="0" collapsed="false">
      <c r="A3" s="2" t="s">
        <v>65</v>
      </c>
    </row>
    <row r="4" customFormat="false" ht="21.75" hidden="false" customHeight="true" outlineLevel="0" collapsed="false">
      <c r="A4" s="7" t="s">
        <v>66</v>
      </c>
      <c r="B4" s="7" t="s">
        <v>67</v>
      </c>
      <c r="C4" s="7" t="s">
        <v>46</v>
      </c>
      <c r="D4" s="7" t="s">
        <v>68</v>
      </c>
      <c r="E4" s="7" t="s">
        <v>69</v>
      </c>
      <c r="F4" s="7" t="s">
        <v>70</v>
      </c>
      <c r="G4" s="7" t="s">
        <v>71</v>
      </c>
      <c r="H4" s="7" t="s">
        <v>26</v>
      </c>
      <c r="I4" s="7" t="s">
        <v>72</v>
      </c>
    </row>
    <row r="5" customFormat="false" ht="23.85" hidden="false" customHeight="false" outlineLevel="0" collapsed="false">
      <c r="A5" s="8" t="s">
        <v>73</v>
      </c>
      <c r="B5" s="16" t="s">
        <v>74</v>
      </c>
      <c r="C5" s="16" t="s">
        <v>54</v>
      </c>
      <c r="D5" s="16" t="s">
        <v>75</v>
      </c>
      <c r="E5" s="16" t="s">
        <v>76</v>
      </c>
      <c r="F5" s="16" t="s">
        <v>77</v>
      </c>
      <c r="G5" s="10"/>
      <c r="H5" s="16" t="s">
        <v>78</v>
      </c>
      <c r="I5" s="16" t="s">
        <v>79</v>
      </c>
    </row>
    <row r="6" customFormat="false" ht="23.85" hidden="false" customHeight="false" outlineLevel="0" collapsed="false">
      <c r="A6" s="8" t="s">
        <v>73</v>
      </c>
      <c r="B6" s="16" t="s">
        <v>74</v>
      </c>
      <c r="C6" s="16" t="s">
        <v>54</v>
      </c>
      <c r="D6" s="16" t="s">
        <v>75</v>
      </c>
      <c r="E6" s="16" t="s">
        <v>76</v>
      </c>
      <c r="F6" s="16" t="s">
        <v>77</v>
      </c>
      <c r="G6" s="10"/>
      <c r="H6" s="16" t="s">
        <v>80</v>
      </c>
      <c r="I6" s="16" t="s">
        <v>79</v>
      </c>
    </row>
    <row r="7" customFormat="false" ht="23.85" hidden="false" customHeight="false" outlineLevel="0" collapsed="false">
      <c r="A7" s="8" t="s">
        <v>81</v>
      </c>
      <c r="B7" s="16" t="s">
        <v>82</v>
      </c>
      <c r="C7" s="16" t="s">
        <v>53</v>
      </c>
      <c r="D7" s="16" t="s">
        <v>83</v>
      </c>
      <c r="E7" s="16" t="s">
        <v>76</v>
      </c>
      <c r="F7" s="16" t="s">
        <v>77</v>
      </c>
      <c r="G7" s="10"/>
      <c r="H7" s="16" t="s">
        <v>84</v>
      </c>
      <c r="I7" s="16" t="s">
        <v>85</v>
      </c>
    </row>
    <row r="10" customFormat="false" ht="15" hidden="false" customHeight="false" outlineLevel="0" collapsed="false">
      <c r="A10" s="2" t="s">
        <v>86</v>
      </c>
    </row>
    <row r="11" customFormat="false" ht="21.75" hidden="false" customHeight="true" outlineLevel="0" collapsed="false">
      <c r="A11" s="7" t="s">
        <v>66</v>
      </c>
      <c r="B11" s="7" t="s">
        <v>67</v>
      </c>
      <c r="C11" s="7" t="s">
        <v>46</v>
      </c>
      <c r="D11" s="7" t="s">
        <v>68</v>
      </c>
      <c r="E11" s="7" t="s">
        <v>69</v>
      </c>
      <c r="F11" s="7" t="s">
        <v>70</v>
      </c>
      <c r="G11" s="7" t="s">
        <v>71</v>
      </c>
      <c r="H11" s="7" t="s">
        <v>26</v>
      </c>
      <c r="I11" s="7" t="s">
        <v>72</v>
      </c>
    </row>
    <row r="12" customFormat="false" ht="23.85" hidden="false" customHeight="false" outlineLevel="0" collapsed="false">
      <c r="A12" s="8" t="s">
        <v>73</v>
      </c>
      <c r="B12" s="16" t="s">
        <v>74</v>
      </c>
      <c r="C12" s="16" t="s">
        <v>54</v>
      </c>
      <c r="D12" s="16" t="s">
        <v>75</v>
      </c>
      <c r="E12" s="16" t="s">
        <v>76</v>
      </c>
      <c r="F12" s="16" t="s">
        <v>77</v>
      </c>
      <c r="G12" s="10"/>
      <c r="H12" s="16" t="s">
        <v>87</v>
      </c>
      <c r="I12" s="16" t="s">
        <v>79</v>
      </c>
    </row>
    <row r="13" customFormat="false" ht="15" hidden="false" customHeight="false" outlineLevel="0" collapsed="false">
      <c r="A13" s="8" t="s">
        <v>81</v>
      </c>
      <c r="B13" s="16" t="s">
        <v>82</v>
      </c>
      <c r="C13" s="16" t="s">
        <v>53</v>
      </c>
      <c r="D13" s="16" t="s">
        <v>83</v>
      </c>
      <c r="E13" s="16" t="s">
        <v>76</v>
      </c>
      <c r="F13" s="16" t="s">
        <v>77</v>
      </c>
      <c r="G13" s="10"/>
      <c r="H13" s="16" t="s">
        <v>88</v>
      </c>
      <c r="I13" s="16" t="s">
        <v>85</v>
      </c>
    </row>
    <row r="14" customFormat="false" ht="15" hidden="false" customHeight="false" outlineLevel="0" collapsed="false">
      <c r="A14" s="8" t="s">
        <v>89</v>
      </c>
      <c r="B14" s="16" t="s">
        <v>90</v>
      </c>
      <c r="C14" s="16" t="s">
        <v>53</v>
      </c>
      <c r="D14" s="16" t="s">
        <v>83</v>
      </c>
      <c r="E14" s="16" t="s">
        <v>76</v>
      </c>
      <c r="F14" s="16" t="s">
        <v>77</v>
      </c>
      <c r="G14" s="10"/>
      <c r="H14" s="16" t="s">
        <v>88</v>
      </c>
      <c r="I14" s="16" t="s">
        <v>91</v>
      </c>
    </row>
    <row r="15" customFormat="false" ht="23.85" hidden="false" customHeight="false" outlineLevel="0" collapsed="false">
      <c r="A15" s="8" t="s">
        <v>92</v>
      </c>
      <c r="B15" s="16" t="s">
        <v>93</v>
      </c>
      <c r="C15" s="16" t="s">
        <v>53</v>
      </c>
      <c r="D15" s="16" t="s">
        <v>83</v>
      </c>
      <c r="E15" s="16" t="s">
        <v>76</v>
      </c>
      <c r="F15" s="16" t="s">
        <v>77</v>
      </c>
      <c r="G15" s="10"/>
      <c r="H15" s="16" t="s">
        <v>94</v>
      </c>
      <c r="I15" s="16" t="s">
        <v>95</v>
      </c>
    </row>
    <row r="16" customFormat="false" ht="23.85" hidden="false" customHeight="false" outlineLevel="0" collapsed="false">
      <c r="A16" s="8" t="s">
        <v>96</v>
      </c>
      <c r="B16" s="16" t="s">
        <v>97</v>
      </c>
      <c r="C16" s="16" t="s">
        <v>53</v>
      </c>
      <c r="D16" s="16" t="s">
        <v>83</v>
      </c>
      <c r="E16" s="16" t="s">
        <v>98</v>
      </c>
      <c r="F16" s="16" t="s">
        <v>99</v>
      </c>
      <c r="G16" s="10"/>
      <c r="H16" s="16" t="s">
        <v>88</v>
      </c>
      <c r="I16" s="16" t="s">
        <v>100</v>
      </c>
    </row>
    <row r="17" customFormat="false" ht="23.85" hidden="false" customHeight="false" outlineLevel="0" collapsed="false">
      <c r="A17" s="8" t="s">
        <v>31</v>
      </c>
      <c r="B17" s="16" t="s">
        <v>101</v>
      </c>
      <c r="C17" s="16" t="s">
        <v>55</v>
      </c>
      <c r="D17" s="16" t="s">
        <v>75</v>
      </c>
      <c r="E17" s="16" t="s">
        <v>98</v>
      </c>
      <c r="F17" s="16" t="s">
        <v>99</v>
      </c>
      <c r="G17" s="10"/>
      <c r="H17" s="16" t="s">
        <v>102</v>
      </c>
      <c r="I17" s="16" t="s">
        <v>103</v>
      </c>
    </row>
    <row r="18" customFormat="false" ht="23.85" hidden="false" customHeight="false" outlineLevel="0" collapsed="false">
      <c r="A18" s="8" t="s">
        <v>34</v>
      </c>
      <c r="B18" s="16" t="s">
        <v>104</v>
      </c>
      <c r="C18" s="16" t="s">
        <v>55</v>
      </c>
      <c r="D18" s="16" t="s">
        <v>75</v>
      </c>
      <c r="E18" s="16" t="s">
        <v>105</v>
      </c>
      <c r="F18" s="16" t="s">
        <v>106</v>
      </c>
      <c r="G18" s="10"/>
      <c r="H18" s="16" t="s">
        <v>107</v>
      </c>
      <c r="I18" s="16" t="s">
        <v>108</v>
      </c>
    </row>
    <row r="19" customFormat="false" ht="15" hidden="false" customHeight="false" outlineLevel="0" collapsed="false">
      <c r="A19" s="23" t="str">
        <f aca="false">COUNTA(A12:A18)&amp;" voci"</f>
        <v>7 voci</v>
      </c>
      <c r="B19" s="23" t="s">
        <v>56</v>
      </c>
      <c r="C19" s="23"/>
      <c r="D19" s="23"/>
      <c r="E19" s="23"/>
      <c r="F19" s="23" t="str">
        <f aca="false">"tra "&amp;ROUND(SUMPRODUCT(((Attività!$E$12:$E$18="S")*1+(Attività!$E$12:$E$18="M")*3+(Attività!$E$12:$E$18="L")*6+(Attività!$E$12:$E$18="XL")*13)),1)&amp;" e "&amp;ROUND(SUMPRODUCT(((Attività!$E$12:$E$18="S")*2+(Attività!$E$12:$E$18="M")*5+(Attività!$E$12:$E$18="L")*12+(Attività!$E$12:$E$18="XL")*40)),1)&amp;" ore"</f>
        <v>tra 29 e 57 ore</v>
      </c>
      <c r="G19" s="23"/>
      <c r="H19" s="23"/>
      <c r="I19" s="23"/>
    </row>
    <row r="22" customFormat="false" ht="15" hidden="false" customHeight="false" outlineLevel="0" collapsed="false">
      <c r="A22" s="2" t="s">
        <v>109</v>
      </c>
    </row>
    <row r="23" customFormat="false" ht="21.75" hidden="false" customHeight="true" outlineLevel="0" collapsed="false">
      <c r="A23" s="7" t="s">
        <v>66</v>
      </c>
      <c r="B23" s="7" t="s">
        <v>67</v>
      </c>
      <c r="C23" s="7" t="s">
        <v>46</v>
      </c>
      <c r="D23" s="7" t="s">
        <v>68</v>
      </c>
      <c r="E23" s="7" t="s">
        <v>69</v>
      </c>
      <c r="F23" s="7" t="s">
        <v>70</v>
      </c>
      <c r="G23" s="7" t="s">
        <v>71</v>
      </c>
      <c r="H23" s="7" t="s">
        <v>26</v>
      </c>
      <c r="I23" s="7" t="s">
        <v>72</v>
      </c>
    </row>
    <row r="24" customFormat="false" ht="23.85" hidden="false" customHeight="false" outlineLevel="0" collapsed="false">
      <c r="A24" s="8" t="s">
        <v>110</v>
      </c>
      <c r="B24" s="16" t="s">
        <v>111</v>
      </c>
      <c r="C24" s="16" t="s">
        <v>54</v>
      </c>
      <c r="D24" s="16" t="s">
        <v>75</v>
      </c>
      <c r="E24" s="16" t="s">
        <v>76</v>
      </c>
      <c r="F24" s="16" t="s">
        <v>77</v>
      </c>
      <c r="G24" s="10" t="n">
        <v>12</v>
      </c>
      <c r="H24" s="16" t="s">
        <v>112</v>
      </c>
      <c r="I24" s="16" t="s">
        <v>113</v>
      </c>
    </row>
    <row r="25" customFormat="false" ht="23.85" hidden="false" customHeight="false" outlineLevel="0" collapsed="false">
      <c r="A25" s="8" t="s">
        <v>114</v>
      </c>
      <c r="B25" s="16" t="s">
        <v>115</v>
      </c>
      <c r="C25" s="16" t="s">
        <v>53</v>
      </c>
      <c r="D25" s="16" t="s">
        <v>116</v>
      </c>
      <c r="E25" s="16" t="s">
        <v>117</v>
      </c>
      <c r="F25" s="16" t="s">
        <v>118</v>
      </c>
      <c r="G25" s="10" t="n">
        <v>14</v>
      </c>
      <c r="H25" s="16" t="s">
        <v>119</v>
      </c>
      <c r="I25" s="16" t="s">
        <v>120</v>
      </c>
    </row>
    <row r="26" customFormat="false" ht="23.85" hidden="false" customHeight="false" outlineLevel="0" collapsed="false">
      <c r="A26" s="8" t="s">
        <v>121</v>
      </c>
      <c r="B26" s="16" t="s">
        <v>122</v>
      </c>
      <c r="C26" s="16" t="s">
        <v>54</v>
      </c>
      <c r="D26" s="16" t="s">
        <v>75</v>
      </c>
      <c r="E26" s="16" t="s">
        <v>76</v>
      </c>
      <c r="F26" s="16" t="s">
        <v>77</v>
      </c>
      <c r="G26" s="10" t="n">
        <v>8</v>
      </c>
      <c r="H26" s="16" t="s">
        <v>123</v>
      </c>
      <c r="I26" s="16" t="s">
        <v>124</v>
      </c>
    </row>
    <row r="27" customFormat="false" ht="23.85" hidden="false" customHeight="false" outlineLevel="0" collapsed="false">
      <c r="A27" s="8" t="s">
        <v>125</v>
      </c>
      <c r="B27" s="16" t="s">
        <v>126</v>
      </c>
      <c r="C27" s="16" t="s">
        <v>53</v>
      </c>
      <c r="D27" s="16" t="s">
        <v>116</v>
      </c>
      <c r="E27" s="16" t="s">
        <v>98</v>
      </c>
      <c r="F27" s="16" t="s">
        <v>99</v>
      </c>
      <c r="G27" s="10" t="n">
        <v>5</v>
      </c>
      <c r="H27" s="16" t="s">
        <v>127</v>
      </c>
      <c r="I27" s="16" t="s">
        <v>128</v>
      </c>
    </row>
    <row r="28" customFormat="false" ht="35.05" hidden="false" customHeight="false" outlineLevel="0" collapsed="false">
      <c r="A28" s="8" t="s">
        <v>129</v>
      </c>
      <c r="B28" s="16" t="s">
        <v>130</v>
      </c>
      <c r="C28" s="16" t="s">
        <v>54</v>
      </c>
      <c r="D28" s="16" t="s">
        <v>75</v>
      </c>
      <c r="E28" s="16" t="s">
        <v>105</v>
      </c>
      <c r="F28" s="16" t="s">
        <v>106</v>
      </c>
      <c r="G28" s="10" t="n">
        <v>3</v>
      </c>
      <c r="H28" s="16" t="s">
        <v>131</v>
      </c>
      <c r="I28" s="16" t="s">
        <v>132</v>
      </c>
    </row>
    <row r="29" customFormat="false" ht="23.85" hidden="false" customHeight="false" outlineLevel="0" collapsed="false">
      <c r="A29" s="8" t="s">
        <v>133</v>
      </c>
      <c r="B29" s="16" t="s">
        <v>134</v>
      </c>
      <c r="C29" s="16" t="s">
        <v>55</v>
      </c>
      <c r="D29" s="16" t="s">
        <v>75</v>
      </c>
      <c r="E29" s="16" t="s">
        <v>98</v>
      </c>
      <c r="F29" s="16" t="s">
        <v>99</v>
      </c>
      <c r="G29" s="10" t="n">
        <v>1.5</v>
      </c>
      <c r="H29" s="16" t="s">
        <v>131</v>
      </c>
      <c r="I29" s="16" t="s">
        <v>135</v>
      </c>
    </row>
    <row r="30" customFormat="false" ht="23.85" hidden="false" customHeight="false" outlineLevel="0" collapsed="false">
      <c r="A30" s="8" t="s">
        <v>136</v>
      </c>
      <c r="B30" s="16" t="s">
        <v>137</v>
      </c>
      <c r="C30" s="16" t="s">
        <v>54</v>
      </c>
      <c r="D30" s="16" t="s">
        <v>138</v>
      </c>
      <c r="E30" s="16" t="s">
        <v>105</v>
      </c>
      <c r="F30" s="16" t="s">
        <v>106</v>
      </c>
      <c r="G30" s="10" t="n">
        <v>2</v>
      </c>
      <c r="H30" s="16" t="s">
        <v>139</v>
      </c>
      <c r="I30" s="16" t="s">
        <v>140</v>
      </c>
    </row>
    <row r="31" customFormat="false" ht="15" hidden="false" customHeight="false" outlineLevel="0" collapsed="false">
      <c r="A31" s="23" t="str">
        <f aca="false">COUNTA(A24:A30)&amp;" voci"</f>
        <v>7 voci</v>
      </c>
      <c r="B31" s="23" t="s">
        <v>56</v>
      </c>
      <c r="C31" s="23"/>
      <c r="D31" s="23"/>
      <c r="E31" s="23"/>
      <c r="F31" s="23"/>
      <c r="G31" s="30" t="n">
        <f aca="false">SUM(G24:G30)</f>
        <v>45.5</v>
      </c>
      <c r="H31" s="23"/>
      <c r="I31" s="23"/>
    </row>
    <row r="34" customFormat="false" ht="15" hidden="false" customHeight="false" outlineLevel="0" collapsed="false">
      <c r="A34" s="2" t="s">
        <v>141</v>
      </c>
    </row>
    <row r="35" customFormat="false" ht="21.75" hidden="false" customHeight="true" outlineLevel="0" collapsed="false">
      <c r="A35" s="7" t="s">
        <v>66</v>
      </c>
      <c r="B35" s="7" t="s">
        <v>67</v>
      </c>
      <c r="C35" s="7" t="s">
        <v>46</v>
      </c>
      <c r="D35" s="7" t="s">
        <v>68</v>
      </c>
      <c r="E35" s="7" t="s">
        <v>69</v>
      </c>
      <c r="F35" s="7" t="s">
        <v>70</v>
      </c>
      <c r="G35" s="7" t="s">
        <v>71</v>
      </c>
      <c r="H35" s="7" t="s">
        <v>26</v>
      </c>
      <c r="I35" s="7" t="s">
        <v>72</v>
      </c>
    </row>
    <row r="36" customFormat="false" ht="23.85" hidden="false" customHeight="false" outlineLevel="0" collapsed="false">
      <c r="A36" s="8" t="s">
        <v>142</v>
      </c>
      <c r="B36" s="16" t="s">
        <v>143</v>
      </c>
      <c r="C36" s="16" t="s">
        <v>54</v>
      </c>
      <c r="D36" s="16" t="s">
        <v>75</v>
      </c>
      <c r="E36" s="16" t="s">
        <v>105</v>
      </c>
      <c r="F36" s="16" t="s">
        <v>106</v>
      </c>
      <c r="G36" s="10"/>
      <c r="H36" s="16" t="s">
        <v>144</v>
      </c>
      <c r="I36" s="16" t="s">
        <v>145</v>
      </c>
    </row>
    <row r="37" customFormat="false" ht="23.85" hidden="false" customHeight="false" outlineLevel="0" collapsed="false">
      <c r="A37" s="8" t="s">
        <v>146</v>
      </c>
      <c r="B37" s="16" t="s">
        <v>147</v>
      </c>
      <c r="C37" s="16" t="s">
        <v>53</v>
      </c>
      <c r="D37" s="16" t="s">
        <v>83</v>
      </c>
      <c r="E37" s="16"/>
      <c r="F37" s="16" t="s">
        <v>148</v>
      </c>
      <c r="G37" s="10"/>
      <c r="H37" s="16" t="s">
        <v>149</v>
      </c>
      <c r="I37" s="16" t="s">
        <v>150</v>
      </c>
    </row>
    <row r="38" customFormat="false" ht="23.85" hidden="false" customHeight="false" outlineLevel="0" collapsed="false">
      <c r="A38" s="8" t="s">
        <v>151</v>
      </c>
      <c r="B38" s="16" t="s">
        <v>152</v>
      </c>
      <c r="C38" s="16" t="s">
        <v>54</v>
      </c>
      <c r="D38" s="16" t="s">
        <v>153</v>
      </c>
      <c r="E38" s="16"/>
      <c r="F38" s="16" t="s">
        <v>148</v>
      </c>
      <c r="G38" s="10"/>
      <c r="H38" s="16" t="s">
        <v>154</v>
      </c>
      <c r="I38" s="16" t="s">
        <v>155</v>
      </c>
    </row>
    <row r="39" customFormat="false" ht="15" hidden="false" customHeight="false" outlineLevel="0" collapsed="false">
      <c r="A39" s="8" t="s">
        <v>156</v>
      </c>
      <c r="B39" s="16" t="s">
        <v>157</v>
      </c>
      <c r="C39" s="16" t="s">
        <v>54</v>
      </c>
      <c r="D39" s="16" t="s">
        <v>153</v>
      </c>
      <c r="E39" s="16"/>
      <c r="F39" s="16" t="s">
        <v>148</v>
      </c>
      <c r="G39" s="10"/>
      <c r="H39" s="16" t="s">
        <v>158</v>
      </c>
      <c r="I39" s="16" t="s">
        <v>159</v>
      </c>
    </row>
    <row r="40" customFormat="false" ht="15" hidden="false" customHeight="false" outlineLevel="0" collapsed="false">
      <c r="A40" s="23" t="str">
        <f aca="false">COUNTA(A36:A39)&amp;" voci"</f>
        <v>4 voci</v>
      </c>
      <c r="B40" s="23" t="s">
        <v>160</v>
      </c>
      <c r="C40" s="23"/>
      <c r="D40" s="23"/>
      <c r="E40" s="23"/>
      <c r="F40" s="23"/>
      <c r="G40" s="23"/>
      <c r="H40" s="23"/>
      <c r="I40" s="23"/>
    </row>
    <row r="42" customFormat="false" ht="15" hidden="false" customHeight="false" outlineLevel="0" collapsed="false">
      <c r="A42" s="31" t="s">
        <v>161</v>
      </c>
    </row>
  </sheetData>
  <sheetProtection sheet="true"/>
  <conditionalFormatting sqref="H12:H18">
    <cfRule type="expression" priority="2" aboveAverage="0" equalAverage="0" bottom="0" percent="0" rank="0" text="" dxfId="0">
      <formula>LEFT($H12,8)="Bloccata"</formula>
    </cfRule>
    <cfRule type="expression" priority="3" aboveAverage="0" equalAverage="0" bottom="0" percent="0" rank="0" text="" dxfId="1">
      <formula>LEFT($H12,10)="Rallentata"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19.7" hidden="false" customHeight="false" outlineLevel="0" collapsed="false">
      <c r="A1" s="1" t="s">
        <v>162</v>
      </c>
    </row>
    <row r="3" customFormat="false" ht="15" hidden="false" customHeight="false" outlineLevel="0" collapsed="false">
      <c r="A3" s="2" t="s">
        <v>163</v>
      </c>
    </row>
    <row r="4" customFormat="false" ht="30" hidden="false" customHeight="true" outlineLevel="0" collapsed="false">
      <c r="A4" s="7" t="s">
        <v>164</v>
      </c>
      <c r="B4" s="7" t="s">
        <v>165</v>
      </c>
      <c r="C4" s="7" t="s">
        <v>166</v>
      </c>
      <c r="D4" s="7" t="s">
        <v>167</v>
      </c>
      <c r="E4" s="7" t="s">
        <v>53</v>
      </c>
      <c r="F4" s="7" t="s">
        <v>54</v>
      </c>
      <c r="G4" s="7" t="s">
        <v>55</v>
      </c>
      <c r="H4" s="7" t="s">
        <v>62</v>
      </c>
      <c r="I4" s="7" t="s">
        <v>63</v>
      </c>
      <c r="J4" s="7" t="s">
        <v>168</v>
      </c>
    </row>
    <row r="5" customFormat="false" ht="15" hidden="false" customHeight="false" outlineLevel="0" collapsed="false">
      <c r="A5" s="8" t="s">
        <v>169</v>
      </c>
      <c r="B5" s="17" t="n">
        <f aca="false">WORKDAY('Come leggerlo'!$B$4,-3)</f>
        <v>46301</v>
      </c>
      <c r="C5" s="17" t="n">
        <f aca="false">'Come leggerlo'!$B$4-1</f>
        <v>46303</v>
      </c>
      <c r="D5" s="32" t="n">
        <f aca="false">SUMIFS('Ore lavorate'!$C$30:$C$46,'Ore lavorate'!$B$30:$B$46,"&gt;="&amp;$B5,'Ore lavorate'!$B$30:$B$46,"&lt;="&amp;$C5)</f>
        <v>25.5</v>
      </c>
      <c r="E5" s="10" t="n">
        <f aca="false">SUMIFS('Ore lavorate'!$D$30:$D$46,'Ore lavorate'!$B$30:$B$46,"&gt;="&amp;$B5,'Ore lavorate'!$B$30:$B$46,"&lt;="&amp;$C5)</f>
        <v>5</v>
      </c>
      <c r="F5" s="10" t="n">
        <f aca="false">SUMIFS('Ore lavorate'!$E$30:$E$46,'Ore lavorate'!$B$30:$B$46,"&gt;="&amp;$B5,'Ore lavorate'!$B$30:$B$46,"&lt;="&amp;$C5)</f>
        <v>9</v>
      </c>
      <c r="G5" s="10" t="n">
        <f aca="false">SUMIFS('Ore lavorate'!$F$30:$F$46,'Ore lavorate'!$B$30:$B$46,"&gt;="&amp;$B5,'Ore lavorate'!$B$30:$B$46,"&lt;="&amp;$C5)</f>
        <v>1.5</v>
      </c>
      <c r="H5" s="10" t="n">
        <f aca="false">SUMIFS('Ore lavorate'!$G$30:$G$46,'Ore lavorate'!$B$30:$B$46,"&gt;="&amp;$B5,'Ore lavorate'!$B$30:$B$46,"&lt;="&amp;$C5)</f>
        <v>1</v>
      </c>
      <c r="I5" s="10" t="n">
        <f aca="false">SUMIFS('Ore lavorate'!$H$30:$H$46,'Ore lavorate'!$B$30:$B$46,"&gt;="&amp;$B5,'Ore lavorate'!$B$30:$B$46,"&lt;="&amp;$C5)</f>
        <v>9</v>
      </c>
      <c r="J5" s="11" t="n">
        <f aca="false">(E5+F5+G5)/NETWORKDAYS(MAX(B5,'Come leggerlo'!$B$7),C5)</f>
        <v>5.16666666666667</v>
      </c>
    </row>
    <row r="6" customFormat="false" ht="15" hidden="false" customHeight="false" outlineLevel="0" collapsed="false">
      <c r="A6" s="8" t="s">
        <v>170</v>
      </c>
      <c r="B6" s="17" t="n">
        <f aca="false">'Come leggerlo'!$B$4-7</f>
        <v>46297</v>
      </c>
      <c r="C6" s="17" t="n">
        <f aca="false">'Come leggerlo'!$B$4-1</f>
        <v>46303</v>
      </c>
      <c r="D6" s="32" t="n">
        <f aca="false">SUMIFS('Ore lavorate'!$C$30:$C$46,'Ore lavorate'!$B$30:$B$46,"&gt;="&amp;$B6,'Ore lavorate'!$B$30:$B$46,"&lt;="&amp;$C6)</f>
        <v>48.5</v>
      </c>
      <c r="E6" s="10" t="n">
        <f aca="false">SUMIFS('Ore lavorate'!$D$30:$D$46,'Ore lavorate'!$B$30:$B$46,"&gt;="&amp;$B6,'Ore lavorate'!$B$30:$B$46,"&lt;="&amp;$C6)</f>
        <v>5</v>
      </c>
      <c r="F6" s="10" t="n">
        <f aca="false">SUMIFS('Ore lavorate'!$E$30:$E$46,'Ore lavorate'!$B$30:$B$46,"&gt;="&amp;$B6,'Ore lavorate'!$B$30:$B$46,"&lt;="&amp;$C6)</f>
        <v>9</v>
      </c>
      <c r="G6" s="10" t="n">
        <f aca="false">SUMIFS('Ore lavorate'!$F$30:$F$46,'Ore lavorate'!$B$30:$B$46,"&gt;="&amp;$B6,'Ore lavorate'!$B$30:$B$46,"&lt;="&amp;$C6)</f>
        <v>1.5</v>
      </c>
      <c r="H6" s="10" t="n">
        <f aca="false">SUMIFS('Ore lavorate'!$G$30:$G$46,'Ore lavorate'!$B$30:$B$46,"&gt;="&amp;$B6,'Ore lavorate'!$B$30:$B$46,"&lt;="&amp;$C6)</f>
        <v>1</v>
      </c>
      <c r="I6" s="10" t="n">
        <f aca="false">SUMIFS('Ore lavorate'!$H$30:$H$46,'Ore lavorate'!$B$30:$B$46,"&gt;="&amp;$B6,'Ore lavorate'!$B$30:$B$46,"&lt;="&amp;$C6)</f>
        <v>32</v>
      </c>
      <c r="J6" s="11" t="n">
        <f aca="false">(E6+F6+G6)/NETWORKDAYS(MAX(B6,'Come leggerlo'!$B$7),C6)</f>
        <v>3.1</v>
      </c>
    </row>
    <row r="7" customFormat="false" ht="15" hidden="false" customHeight="false" outlineLevel="0" collapsed="false">
      <c r="A7" s="8" t="s">
        <v>171</v>
      </c>
      <c r="B7" s="17" t="n">
        <f aca="false">'Come leggerlo'!$B$4-30</f>
        <v>46274</v>
      </c>
      <c r="C7" s="17" t="n">
        <f aca="false">'Come leggerlo'!$B$4-1</f>
        <v>46303</v>
      </c>
      <c r="D7" s="32" t="n">
        <f aca="false">SUMIFS('Ore lavorate'!$C$30:$C$46,'Ore lavorate'!$B$30:$B$46,"&gt;="&amp;$B7,'Ore lavorate'!$B$30:$B$46,"&lt;="&amp;$C7)</f>
        <v>118.5</v>
      </c>
      <c r="E7" s="10" t="n">
        <f aca="false">SUMIFS('Ore lavorate'!$D$30:$D$46,'Ore lavorate'!$B$30:$B$46,"&gt;="&amp;$B7,'Ore lavorate'!$B$30:$B$46,"&lt;="&amp;$C7)</f>
        <v>19</v>
      </c>
      <c r="F7" s="10" t="n">
        <f aca="false">SUMIFS('Ore lavorate'!$E$30:$E$46,'Ore lavorate'!$B$30:$B$46,"&gt;="&amp;$B7,'Ore lavorate'!$B$30:$B$46,"&lt;="&amp;$C7)</f>
        <v>29</v>
      </c>
      <c r="G7" s="10" t="n">
        <f aca="false">SUMIFS('Ore lavorate'!$F$30:$F$46,'Ore lavorate'!$B$30:$B$46,"&gt;="&amp;$B7,'Ore lavorate'!$B$30:$B$46,"&lt;="&amp;$C7)</f>
        <v>1.5</v>
      </c>
      <c r="H7" s="10" t="n">
        <f aca="false">SUMIFS('Ore lavorate'!$G$30:$G$46,'Ore lavorate'!$B$30:$B$46,"&gt;="&amp;$B7,'Ore lavorate'!$B$30:$B$46,"&lt;="&amp;$C7)</f>
        <v>1</v>
      </c>
      <c r="I7" s="10" t="n">
        <f aca="false">SUMIFS('Ore lavorate'!$H$30:$H$46,'Ore lavorate'!$B$30:$B$46,"&gt;="&amp;$B7,'Ore lavorate'!$B$30:$B$46,"&lt;="&amp;$C7)</f>
        <v>68</v>
      </c>
      <c r="J7" s="11" t="n">
        <f aca="false">(E7+F7+G7)/NETWORKDAYS(MAX(B7,'Come leggerlo'!$B$7),C7)</f>
        <v>3.80769230769231</v>
      </c>
    </row>
    <row r="8" customFormat="false" ht="15" hidden="false" customHeight="false" outlineLevel="0" collapsed="false">
      <c r="A8" s="8" t="s">
        <v>172</v>
      </c>
      <c r="B8" s="17" t="n">
        <f aca="false">'Come leggerlo'!$B$7</f>
        <v>46287</v>
      </c>
      <c r="C8" s="17" t="n">
        <f aca="false">'Come leggerlo'!$B$4-1</f>
        <v>46303</v>
      </c>
      <c r="D8" s="32" t="n">
        <f aca="false">SUMIFS('Ore lavorate'!$C$30:$C$46,'Ore lavorate'!$B$30:$B$46,"&gt;="&amp;$B8,'Ore lavorate'!$B$30:$B$46,"&lt;="&amp;$C8)</f>
        <v>118.5</v>
      </c>
      <c r="E8" s="10" t="n">
        <f aca="false">SUMIFS('Ore lavorate'!$D$30:$D$46,'Ore lavorate'!$B$30:$B$46,"&gt;="&amp;$B8,'Ore lavorate'!$B$30:$B$46,"&lt;="&amp;$C8)</f>
        <v>19</v>
      </c>
      <c r="F8" s="10" t="n">
        <f aca="false">SUMIFS('Ore lavorate'!$E$30:$E$46,'Ore lavorate'!$B$30:$B$46,"&gt;="&amp;$B8,'Ore lavorate'!$B$30:$B$46,"&lt;="&amp;$C8)</f>
        <v>29</v>
      </c>
      <c r="G8" s="10" t="n">
        <f aca="false">SUMIFS('Ore lavorate'!$F$30:$F$46,'Ore lavorate'!$B$30:$B$46,"&gt;="&amp;$B8,'Ore lavorate'!$B$30:$B$46,"&lt;="&amp;$C8)</f>
        <v>1.5</v>
      </c>
      <c r="H8" s="10" t="n">
        <f aca="false">SUMIFS('Ore lavorate'!$G$30:$G$46,'Ore lavorate'!$B$30:$B$46,"&gt;="&amp;$B8,'Ore lavorate'!$B$30:$B$46,"&lt;="&amp;$C8)</f>
        <v>1</v>
      </c>
      <c r="I8" s="10" t="n">
        <f aca="false">SUMIFS('Ore lavorate'!$H$30:$H$46,'Ore lavorate'!$B$30:$B$46,"&gt;="&amp;$B8,'Ore lavorate'!$B$30:$B$46,"&lt;="&amp;$C8)</f>
        <v>68</v>
      </c>
      <c r="J8" s="11" t="n">
        <f aca="false">(E8+F8+G8)/NETWORKDAYS(MAX(B8,'Come leggerlo'!$B$7),C8)</f>
        <v>3.80769230769231</v>
      </c>
    </row>
    <row r="10" customFormat="false" ht="15" hidden="false" customHeight="false" outlineLevel="0" collapsed="false">
      <c r="A10" s="2" t="s">
        <v>173</v>
      </c>
    </row>
    <row r="11" customFormat="false" ht="23.85" hidden="false" customHeight="false" outlineLevel="0" collapsed="false">
      <c r="A11" s="7" t="s">
        <v>164</v>
      </c>
      <c r="B11" s="7" t="s">
        <v>165</v>
      </c>
      <c r="C11" s="7" t="s">
        <v>166</v>
      </c>
      <c r="D11" s="7" t="s">
        <v>167</v>
      </c>
      <c r="E11" s="7" t="s">
        <v>53</v>
      </c>
      <c r="F11" s="7" t="s">
        <v>54</v>
      </c>
      <c r="G11" s="7" t="s">
        <v>55</v>
      </c>
      <c r="H11" s="7" t="s">
        <v>62</v>
      </c>
      <c r="I11" s="7" t="s">
        <v>63</v>
      </c>
    </row>
    <row r="12" customFormat="false" ht="15" hidden="false" customHeight="false" outlineLevel="0" collapsed="false">
      <c r="A12" s="8" t="str">
        <f aca="false">A5</f>
        <v>Ultimi 3 giorni lavorativi</v>
      </c>
      <c r="B12" s="17" t="n">
        <f aca="false">B5</f>
        <v>46301</v>
      </c>
      <c r="C12" s="17" t="n">
        <f aca="false">C5</f>
        <v>46303</v>
      </c>
      <c r="D12" s="32" t="n">
        <f aca="false">D5</f>
        <v>25.5</v>
      </c>
      <c r="E12" s="26" t="n">
        <f aca="false">IF($D5=0,0,E5/$D5)</f>
        <v>0.196078431372549</v>
      </c>
      <c r="F12" s="26" t="n">
        <f aca="false">IF($D5=0,0,F5/$D5)</f>
        <v>0.352941176470588</v>
      </c>
      <c r="G12" s="26" t="n">
        <f aca="false">IF($D5=0,0,G5/$D5)</f>
        <v>0.0588235294117647</v>
      </c>
      <c r="H12" s="26" t="n">
        <f aca="false">IF($D5=0,0,H5/$D5)</f>
        <v>0.0392156862745098</v>
      </c>
      <c r="I12" s="33" t="n">
        <f aca="false">IF($D5=0,0,I5/$D5)</f>
        <v>0.352941176470588</v>
      </c>
    </row>
    <row r="13" customFormat="false" ht="15" hidden="false" customHeight="false" outlineLevel="0" collapsed="false">
      <c r="A13" s="8" t="str">
        <f aca="false">A6</f>
        <v>Ultimi 7 giorni</v>
      </c>
      <c r="B13" s="17" t="n">
        <f aca="false">B6</f>
        <v>46297</v>
      </c>
      <c r="C13" s="17" t="n">
        <f aca="false">C6</f>
        <v>46303</v>
      </c>
      <c r="D13" s="32" t="n">
        <f aca="false">D6</f>
        <v>48.5</v>
      </c>
      <c r="E13" s="26" t="n">
        <f aca="false">IF($D6=0,0,E6/$D6)</f>
        <v>0.103092783505155</v>
      </c>
      <c r="F13" s="26" t="n">
        <f aca="false">IF($D6=0,0,F6/$D6)</f>
        <v>0.185567010309278</v>
      </c>
      <c r="G13" s="26" t="n">
        <f aca="false">IF($D6=0,0,G6/$D6)</f>
        <v>0.0309278350515464</v>
      </c>
      <c r="H13" s="26" t="n">
        <f aca="false">IF($D6=0,0,H6/$D6)</f>
        <v>0.0206185567010309</v>
      </c>
      <c r="I13" s="33" t="n">
        <f aca="false">IF($D6=0,0,I6/$D6)</f>
        <v>0.65979381443299</v>
      </c>
    </row>
    <row r="14" customFormat="false" ht="15" hidden="false" customHeight="false" outlineLevel="0" collapsed="false">
      <c r="A14" s="8" t="str">
        <f aca="false">A7</f>
        <v>Ultimi 30 giorni</v>
      </c>
      <c r="B14" s="17" t="n">
        <f aca="false">B7</f>
        <v>46274</v>
      </c>
      <c r="C14" s="17" t="n">
        <f aca="false">C7</f>
        <v>46303</v>
      </c>
      <c r="D14" s="32" t="n">
        <f aca="false">D7</f>
        <v>118.5</v>
      </c>
      <c r="E14" s="26" t="n">
        <f aca="false">IF($D7=0,0,E7/$D7)</f>
        <v>0.160337552742616</v>
      </c>
      <c r="F14" s="26" t="n">
        <f aca="false">IF($D7=0,0,F7/$D7)</f>
        <v>0.244725738396624</v>
      </c>
      <c r="G14" s="26" t="n">
        <f aca="false">IF($D7=0,0,G7/$D7)</f>
        <v>0.0126582278481013</v>
      </c>
      <c r="H14" s="26" t="n">
        <f aca="false">IF($D7=0,0,H7/$D7)</f>
        <v>0.00843881856540084</v>
      </c>
      <c r="I14" s="33" t="n">
        <f aca="false">IF($D7=0,0,I7/$D7)</f>
        <v>0.573839662447257</v>
      </c>
    </row>
    <row r="15" customFormat="false" ht="15" hidden="false" customHeight="false" outlineLevel="0" collapsed="false">
      <c r="A15" s="8" t="str">
        <f aca="false">A8</f>
        <v>Dall'inizio del progetto</v>
      </c>
      <c r="B15" s="17" t="n">
        <f aca="false">B8</f>
        <v>46287</v>
      </c>
      <c r="C15" s="17" t="n">
        <f aca="false">C8</f>
        <v>46303</v>
      </c>
      <c r="D15" s="32" t="n">
        <f aca="false">D8</f>
        <v>118.5</v>
      </c>
      <c r="E15" s="26" t="n">
        <f aca="false">IF($D8=0,0,E8/$D8)</f>
        <v>0.160337552742616</v>
      </c>
      <c r="F15" s="26" t="n">
        <f aca="false">IF($D8=0,0,F8/$D8)</f>
        <v>0.244725738396624</v>
      </c>
      <c r="G15" s="26" t="n">
        <f aca="false">IF($D8=0,0,G8/$D8)</f>
        <v>0.0126582278481013</v>
      </c>
      <c r="H15" s="26" t="n">
        <f aca="false">IF($D8=0,0,H8/$D8)</f>
        <v>0.00843881856540084</v>
      </c>
      <c r="I15" s="33" t="n">
        <f aca="false">IF($D8=0,0,I8/$D8)</f>
        <v>0.573839662447257</v>
      </c>
    </row>
    <row r="18" customFormat="false" ht="15" hidden="false" customHeight="false" outlineLevel="0" collapsed="false">
      <c r="A18" s="2" t="s">
        <v>174</v>
      </c>
    </row>
    <row r="19" customFormat="false" ht="23.85" hidden="false" customHeight="false" outlineLevel="0" collapsed="false">
      <c r="A19" s="7" t="s">
        <v>175</v>
      </c>
      <c r="B19" s="7" t="s">
        <v>176</v>
      </c>
      <c r="C19" s="7" t="s">
        <v>170</v>
      </c>
    </row>
    <row r="20" customFormat="false" ht="23.85" hidden="false" customHeight="false" outlineLevel="0" collapsed="false">
      <c r="A20" s="8" t="s">
        <v>177</v>
      </c>
      <c r="B20" s="10" t="n">
        <f aca="false">SUM('Ore lavorate'!$I$30:$I$46)</f>
        <v>28</v>
      </c>
      <c r="C20" s="10" t="n">
        <f aca="false">SUMIFS('Ore lavorate'!$I$30:$I$46,'Ore lavorate'!$B$30:$B$46,"&gt;="&amp;$B$6,'Ore lavorate'!$B$30:$B$46,"&lt;="&amp;$C$6)</f>
        <v>14</v>
      </c>
    </row>
    <row r="21" customFormat="false" ht="23.85" hidden="false" customHeight="false" outlineLevel="0" collapsed="false">
      <c r="A21" s="8" t="s">
        <v>178</v>
      </c>
      <c r="B21" s="10" t="n">
        <f aca="false">SUM('Ore lavorate'!$J$30:$J$46)</f>
        <v>13</v>
      </c>
      <c r="C21" s="10" t="n">
        <f aca="false">SUMIFS('Ore lavorate'!$J$30:$J$46,'Ore lavorate'!$B$30:$B$46,"&gt;="&amp;$B$6,'Ore lavorate'!$B$30:$B$46,"&lt;="&amp;$C$6)</f>
        <v>8</v>
      </c>
    </row>
    <row r="22" customFormat="false" ht="15" hidden="false" customHeight="false" outlineLevel="0" collapsed="false">
      <c r="A22" s="8" t="s">
        <v>179</v>
      </c>
      <c r="B22" s="10" t="n">
        <f aca="false">SUM('Ore lavorate'!$K$30:$K$46)</f>
        <v>16</v>
      </c>
      <c r="C22" s="10" t="n">
        <f aca="false">SUMIFS('Ore lavorate'!$K$30:$K$46,'Ore lavorate'!$B$30:$B$46,"&gt;="&amp;$B$6,'Ore lavorate'!$B$30:$B$46,"&lt;="&amp;$C$6)</f>
        <v>6</v>
      </c>
    </row>
    <row r="23" customFormat="false" ht="15" hidden="false" customHeight="false" outlineLevel="0" collapsed="false">
      <c r="A23" s="8" t="s">
        <v>180</v>
      </c>
      <c r="B23" s="10" t="n">
        <f aca="false">SUM('Ore lavorate'!$L$30:$L$46)</f>
        <v>6</v>
      </c>
      <c r="C23" s="10" t="n">
        <f aca="false">SUMIFS('Ore lavorate'!$L$30:$L$46,'Ore lavorate'!$B$30:$B$46,"&gt;="&amp;$B$6,'Ore lavorate'!$B$30:$B$46,"&lt;="&amp;$C$6)</f>
        <v>1</v>
      </c>
    </row>
    <row r="24" customFormat="false" ht="15" hidden="false" customHeight="false" outlineLevel="0" collapsed="false">
      <c r="A24" s="8" t="s">
        <v>181</v>
      </c>
      <c r="B24" s="10" t="n">
        <f aca="false">SUM('Ore lavorate'!$M$30:$M$46)</f>
        <v>5</v>
      </c>
      <c r="C24" s="10" t="n">
        <f aca="false">SUMIFS('Ore lavorate'!$M$30:$M$46,'Ore lavorate'!$B$30:$B$46,"&gt;="&amp;$B$6,'Ore lavorate'!$B$30:$B$46,"&lt;="&amp;$C$6)</f>
        <v>3</v>
      </c>
    </row>
    <row r="25" customFormat="false" ht="15" hidden="false" customHeight="false" outlineLevel="0" collapsed="false">
      <c r="A25" s="23" t="s">
        <v>56</v>
      </c>
      <c r="B25" s="30" t="n">
        <f aca="false">SUM(B20:B24)</f>
        <v>68</v>
      </c>
      <c r="C25" s="30" t="n">
        <f aca="false">SUM(C20:C24)</f>
        <v>32</v>
      </c>
    </row>
    <row r="27" customFormat="false" ht="15" hidden="false" customHeight="false" outlineLevel="0" collapsed="false">
      <c r="A27" s="2" t="s">
        <v>182</v>
      </c>
    </row>
    <row r="28" customFormat="false" ht="15" hidden="false" customHeight="false" outlineLevel="0" collapsed="false">
      <c r="A28" s="19"/>
      <c r="B28" s="19"/>
      <c r="C28" s="19"/>
      <c r="D28" s="20" t="s">
        <v>183</v>
      </c>
      <c r="E28" s="20"/>
      <c r="F28" s="20"/>
      <c r="G28" s="20"/>
      <c r="H28" s="20"/>
      <c r="I28" s="20" t="s">
        <v>184</v>
      </c>
      <c r="J28" s="20"/>
      <c r="K28" s="20"/>
      <c r="L28" s="20"/>
      <c r="M28" s="20"/>
    </row>
    <row r="29" customFormat="false" ht="27.75" hidden="false" customHeight="true" outlineLevel="0" collapsed="false">
      <c r="A29" s="7" t="s">
        <v>185</v>
      </c>
      <c r="B29" s="7" t="s">
        <v>186</v>
      </c>
      <c r="C29" s="7" t="s">
        <v>167</v>
      </c>
      <c r="D29" s="7" t="s">
        <v>53</v>
      </c>
      <c r="E29" s="7" t="s">
        <v>54</v>
      </c>
      <c r="F29" s="7" t="s">
        <v>55</v>
      </c>
      <c r="G29" s="7" t="s">
        <v>62</v>
      </c>
      <c r="H29" s="7" t="s">
        <v>63</v>
      </c>
      <c r="I29" s="7" t="s">
        <v>187</v>
      </c>
      <c r="J29" s="7" t="s">
        <v>188</v>
      </c>
      <c r="K29" s="7" t="s">
        <v>179</v>
      </c>
      <c r="L29" s="7" t="s">
        <v>189</v>
      </c>
      <c r="M29" s="7" t="s">
        <v>190</v>
      </c>
    </row>
    <row r="30" customFormat="false" ht="15" hidden="false" customHeight="false" outlineLevel="0" collapsed="false">
      <c r="A30" s="8" t="s">
        <v>191</v>
      </c>
      <c r="B30" s="17" t="n">
        <v>46287</v>
      </c>
      <c r="C30" s="32" t="n">
        <f aca="false">SUM(D30:H30)</f>
        <v>8</v>
      </c>
      <c r="D30" s="10" t="n">
        <v>0</v>
      </c>
      <c r="E30" s="10" t="n">
        <v>4</v>
      </c>
      <c r="F30" s="10" t="n">
        <v>0</v>
      </c>
      <c r="G30" s="10" t="n">
        <v>0</v>
      </c>
      <c r="H30" s="10" t="n">
        <f aca="false">SUM(I30:M30)</f>
        <v>4</v>
      </c>
      <c r="I30" s="34" t="n">
        <v>0</v>
      </c>
      <c r="J30" s="34" t="n">
        <v>0</v>
      </c>
      <c r="K30" s="34" t="n">
        <v>2</v>
      </c>
      <c r="L30" s="34" t="n">
        <v>2</v>
      </c>
      <c r="M30" s="34" t="n">
        <v>0</v>
      </c>
    </row>
    <row r="31" customFormat="false" ht="15" hidden="false" customHeight="false" outlineLevel="0" collapsed="false">
      <c r="A31" s="8" t="s">
        <v>192</v>
      </c>
      <c r="B31" s="17" t="n">
        <v>46288</v>
      </c>
      <c r="C31" s="32" t="n">
        <f aca="false">SUM(D31:H31)</f>
        <v>8</v>
      </c>
      <c r="D31" s="10" t="n">
        <v>0</v>
      </c>
      <c r="E31" s="10" t="n">
        <v>4</v>
      </c>
      <c r="F31" s="10" t="n">
        <v>0</v>
      </c>
      <c r="G31" s="10" t="n">
        <v>0</v>
      </c>
      <c r="H31" s="10" t="n">
        <f aca="false">SUM(I31:M31)</f>
        <v>4</v>
      </c>
      <c r="I31" s="34" t="n">
        <v>0</v>
      </c>
      <c r="J31" s="34" t="n">
        <v>0</v>
      </c>
      <c r="K31" s="34" t="n">
        <v>1</v>
      </c>
      <c r="L31" s="34" t="n">
        <v>2</v>
      </c>
      <c r="M31" s="34" t="n">
        <v>1</v>
      </c>
    </row>
    <row r="32" customFormat="false" ht="15" hidden="false" customHeight="false" outlineLevel="0" collapsed="false">
      <c r="A32" s="8" t="s">
        <v>193</v>
      </c>
      <c r="B32" s="17" t="n">
        <v>46289</v>
      </c>
      <c r="C32" s="32" t="n">
        <f aca="false">SUM(D32:H32)</f>
        <v>8</v>
      </c>
      <c r="D32" s="10" t="n">
        <v>0</v>
      </c>
      <c r="E32" s="10" t="n">
        <v>4</v>
      </c>
      <c r="F32" s="10" t="n">
        <v>0</v>
      </c>
      <c r="G32" s="10" t="n">
        <v>0</v>
      </c>
      <c r="H32" s="10" t="n">
        <f aca="false">SUM(I32:M32)</f>
        <v>4</v>
      </c>
      <c r="I32" s="34" t="n">
        <v>3</v>
      </c>
      <c r="J32" s="34" t="n">
        <v>0</v>
      </c>
      <c r="K32" s="34" t="n">
        <v>1</v>
      </c>
      <c r="L32" s="34" t="n">
        <v>0</v>
      </c>
      <c r="M32" s="34" t="n">
        <v>0</v>
      </c>
    </row>
    <row r="33" customFormat="false" ht="15" hidden="false" customHeight="false" outlineLevel="0" collapsed="false">
      <c r="A33" s="8" t="s">
        <v>194</v>
      </c>
      <c r="B33" s="17" t="n">
        <v>46290</v>
      </c>
      <c r="C33" s="32" t="n">
        <f aca="false">SUM(D33:H33)</f>
        <v>9</v>
      </c>
      <c r="D33" s="10" t="n">
        <v>3</v>
      </c>
      <c r="E33" s="10" t="n">
        <v>0</v>
      </c>
      <c r="F33" s="10" t="n">
        <v>0</v>
      </c>
      <c r="G33" s="10" t="n">
        <v>0</v>
      </c>
      <c r="H33" s="10" t="n">
        <f aca="false">SUM(I33:M33)</f>
        <v>6</v>
      </c>
      <c r="I33" s="34" t="n">
        <v>4</v>
      </c>
      <c r="J33" s="34" t="n">
        <v>0</v>
      </c>
      <c r="K33" s="34" t="n">
        <v>2</v>
      </c>
      <c r="L33" s="34" t="n">
        <v>0</v>
      </c>
      <c r="M33" s="34" t="n">
        <v>0</v>
      </c>
    </row>
    <row r="34" customFormat="false" ht="15" hidden="false" customHeight="false" outlineLevel="0" collapsed="false">
      <c r="A34" s="35" t="s">
        <v>195</v>
      </c>
      <c r="B34" s="17" t="n">
        <v>46291</v>
      </c>
      <c r="C34" s="32" t="n">
        <f aca="false">SUM(D34:H34)</f>
        <v>3</v>
      </c>
      <c r="D34" s="10" t="n">
        <v>3</v>
      </c>
      <c r="E34" s="10" t="n">
        <v>0</v>
      </c>
      <c r="F34" s="10" t="n">
        <v>0</v>
      </c>
      <c r="G34" s="10" t="n">
        <v>0</v>
      </c>
      <c r="H34" s="10" t="n">
        <f aca="false">SUM(I34:M34)</f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s="34" t="n">
        <v>0</v>
      </c>
    </row>
    <row r="35" customFormat="false" ht="15" hidden="false" customHeight="false" outlineLevel="0" collapsed="false">
      <c r="A35" s="35" t="s">
        <v>196</v>
      </c>
      <c r="B35" s="17" t="n">
        <v>46292</v>
      </c>
      <c r="C35" s="32" t="n">
        <f aca="false">SUM(D35:H35)</f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f aca="false">SUM(I35:M35)</f>
        <v>0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</row>
    <row r="36" customFormat="false" ht="15" hidden="false" customHeight="false" outlineLevel="0" collapsed="false">
      <c r="A36" s="8" t="s">
        <v>197</v>
      </c>
      <c r="B36" s="17" t="n">
        <v>46293</v>
      </c>
      <c r="C36" s="32" t="n">
        <f aca="false">SUM(D36:H36)</f>
        <v>9</v>
      </c>
      <c r="D36" s="10" t="n">
        <v>4</v>
      </c>
      <c r="E36" s="10" t="n">
        <v>0</v>
      </c>
      <c r="F36" s="10" t="n">
        <v>0</v>
      </c>
      <c r="G36" s="10" t="n">
        <v>0</v>
      </c>
      <c r="H36" s="10" t="n">
        <f aca="false">SUM(I36:M36)</f>
        <v>5</v>
      </c>
      <c r="I36" s="34" t="n">
        <v>4</v>
      </c>
      <c r="J36" s="34" t="n">
        <v>0</v>
      </c>
      <c r="K36" s="34" t="n">
        <v>1</v>
      </c>
      <c r="L36" s="34" t="n">
        <v>0</v>
      </c>
      <c r="M36" s="34" t="n">
        <v>0</v>
      </c>
    </row>
    <row r="37" customFormat="false" ht="15" hidden="false" customHeight="false" outlineLevel="0" collapsed="false">
      <c r="A37" s="8" t="s">
        <v>198</v>
      </c>
      <c r="B37" s="17" t="n">
        <v>46294</v>
      </c>
      <c r="C37" s="32" t="n">
        <f aca="false">SUM(D37:H37)</f>
        <v>9</v>
      </c>
      <c r="D37" s="10" t="n">
        <v>4</v>
      </c>
      <c r="E37" s="10" t="n">
        <v>0</v>
      </c>
      <c r="F37" s="10" t="n">
        <v>0</v>
      </c>
      <c r="G37" s="10" t="n">
        <v>0</v>
      </c>
      <c r="H37" s="10" t="n">
        <f aca="false">SUM(I37:M37)</f>
        <v>5</v>
      </c>
      <c r="I37" s="34" t="n">
        <v>0</v>
      </c>
      <c r="J37" s="34" t="n">
        <v>3</v>
      </c>
      <c r="K37" s="34" t="n">
        <v>1</v>
      </c>
      <c r="L37" s="34" t="n">
        <v>0</v>
      </c>
      <c r="M37" s="34" t="n">
        <v>1</v>
      </c>
    </row>
    <row r="38" customFormat="false" ht="15" hidden="false" customHeight="false" outlineLevel="0" collapsed="false">
      <c r="A38" s="8" t="s">
        <v>199</v>
      </c>
      <c r="B38" s="17" t="n">
        <v>46295</v>
      </c>
      <c r="C38" s="32" t="n">
        <f aca="false">SUM(D38:H38)</f>
        <v>8</v>
      </c>
      <c r="D38" s="10" t="n">
        <v>0</v>
      </c>
      <c r="E38" s="10" t="n">
        <v>4</v>
      </c>
      <c r="F38" s="10" t="n">
        <v>0</v>
      </c>
      <c r="G38" s="10" t="n">
        <v>0</v>
      </c>
      <c r="H38" s="10" t="n">
        <f aca="false">SUM(I38:M38)</f>
        <v>4</v>
      </c>
      <c r="I38" s="34" t="n">
        <v>0</v>
      </c>
      <c r="J38" s="34" t="n">
        <v>2</v>
      </c>
      <c r="K38" s="34" t="n">
        <v>1</v>
      </c>
      <c r="L38" s="34" t="n">
        <v>1</v>
      </c>
      <c r="M38" s="34" t="n">
        <v>0</v>
      </c>
    </row>
    <row r="39" customFormat="false" ht="15" hidden="false" customHeight="false" outlineLevel="0" collapsed="false">
      <c r="A39" s="8" t="s">
        <v>200</v>
      </c>
      <c r="B39" s="17" t="n">
        <v>46296</v>
      </c>
      <c r="C39" s="32" t="n">
        <f aca="false">SUM(D39:H39)</f>
        <v>8</v>
      </c>
      <c r="D39" s="10" t="n">
        <v>0</v>
      </c>
      <c r="E39" s="10" t="n">
        <v>4</v>
      </c>
      <c r="F39" s="10" t="n">
        <v>0</v>
      </c>
      <c r="G39" s="10" t="n">
        <v>0</v>
      </c>
      <c r="H39" s="10" t="n">
        <f aca="false">SUM(I39:M39)</f>
        <v>4</v>
      </c>
      <c r="I39" s="34" t="n">
        <v>3</v>
      </c>
      <c r="J39" s="34" t="n">
        <v>0</v>
      </c>
      <c r="K39" s="34" t="n">
        <v>1</v>
      </c>
      <c r="L39" s="34" t="n">
        <v>0</v>
      </c>
      <c r="M39" s="34" t="n">
        <v>0</v>
      </c>
    </row>
    <row r="40" customFormat="false" ht="15" hidden="false" customHeight="false" outlineLevel="0" collapsed="false">
      <c r="A40" s="8" t="s">
        <v>201</v>
      </c>
      <c r="B40" s="17" t="n">
        <v>46297</v>
      </c>
      <c r="C40" s="32" t="n">
        <f aca="false">SUM(D40:H40)</f>
        <v>8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f aca="false">SUM(I40:M40)</f>
        <v>8</v>
      </c>
      <c r="I40" s="34" t="n">
        <v>5</v>
      </c>
      <c r="J40" s="34" t="n">
        <v>0</v>
      </c>
      <c r="K40" s="34" t="n">
        <v>2</v>
      </c>
      <c r="L40" s="34" t="n">
        <v>0</v>
      </c>
      <c r="M40" s="34" t="n">
        <v>1</v>
      </c>
    </row>
    <row r="41" customFormat="false" ht="15" hidden="false" customHeight="false" outlineLevel="0" collapsed="false">
      <c r="A41" s="35" t="s">
        <v>202</v>
      </c>
      <c r="B41" s="17" t="n">
        <v>46298</v>
      </c>
      <c r="C41" s="32" t="n">
        <f aca="false">SUM(D41:H41)</f>
        <v>4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f aca="false">SUM(I41:M41)</f>
        <v>4</v>
      </c>
      <c r="I41" s="34" t="n">
        <v>0</v>
      </c>
      <c r="J41" s="34" t="n">
        <v>4</v>
      </c>
      <c r="K41" s="34" t="n">
        <v>0</v>
      </c>
      <c r="L41" s="34" t="n">
        <v>0</v>
      </c>
      <c r="M41" s="34" t="n">
        <v>0</v>
      </c>
    </row>
    <row r="42" customFormat="false" ht="15" hidden="false" customHeight="false" outlineLevel="0" collapsed="false">
      <c r="A42" s="35" t="s">
        <v>203</v>
      </c>
      <c r="B42" s="17" t="n">
        <v>46299</v>
      </c>
      <c r="C42" s="32" t="n">
        <f aca="false">SUM(D42:H42)</f>
        <v>3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f aca="false">SUM(I42:M42)</f>
        <v>3</v>
      </c>
      <c r="I42" s="34" t="n">
        <v>3</v>
      </c>
      <c r="J42" s="34" t="n">
        <v>0</v>
      </c>
      <c r="K42" s="34" t="n">
        <v>0</v>
      </c>
      <c r="L42" s="34" t="n">
        <v>0</v>
      </c>
      <c r="M42" s="34" t="n">
        <v>0</v>
      </c>
    </row>
    <row r="43" customFormat="false" ht="15" hidden="false" customHeight="false" outlineLevel="0" collapsed="false">
      <c r="A43" s="8" t="s">
        <v>204</v>
      </c>
      <c r="B43" s="17" t="n">
        <v>46300</v>
      </c>
      <c r="C43" s="32" t="n">
        <f aca="false">SUM(D43:H43)</f>
        <v>8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f aca="false">SUM(I43:M43)</f>
        <v>8</v>
      </c>
      <c r="I43" s="34" t="n">
        <v>4</v>
      </c>
      <c r="J43" s="34" t="n">
        <v>3</v>
      </c>
      <c r="K43" s="34" t="n">
        <v>1</v>
      </c>
      <c r="L43" s="34" t="n">
        <v>0</v>
      </c>
      <c r="M43" s="34" t="n">
        <v>0</v>
      </c>
    </row>
    <row r="44" customFormat="false" ht="15" hidden="false" customHeight="false" outlineLevel="0" collapsed="false">
      <c r="A44" s="8" t="s">
        <v>205</v>
      </c>
      <c r="B44" s="17" t="n">
        <v>46301</v>
      </c>
      <c r="C44" s="32" t="n">
        <f aca="false">SUM(D44:H44)</f>
        <v>11</v>
      </c>
      <c r="D44" s="10" t="n">
        <v>5</v>
      </c>
      <c r="E44" s="10" t="n">
        <v>3</v>
      </c>
      <c r="F44" s="10" t="n">
        <v>1.5</v>
      </c>
      <c r="G44" s="10" t="n">
        <v>0</v>
      </c>
      <c r="H44" s="10" t="n">
        <f aca="false">SUM(I44:M44)</f>
        <v>1.5</v>
      </c>
      <c r="I44" s="34" t="n">
        <v>0</v>
      </c>
      <c r="J44" s="34" t="n">
        <v>0</v>
      </c>
      <c r="K44" s="34" t="n">
        <v>1</v>
      </c>
      <c r="L44" s="34" t="n">
        <v>0</v>
      </c>
      <c r="M44" s="34" t="n">
        <v>0.5</v>
      </c>
    </row>
    <row r="45" customFormat="false" ht="15" hidden="false" customHeight="false" outlineLevel="0" collapsed="false">
      <c r="A45" s="8" t="s">
        <v>206</v>
      </c>
      <c r="B45" s="17" t="n">
        <v>46302</v>
      </c>
      <c r="C45" s="32" t="n">
        <f aca="false">SUM(D45:H45)</f>
        <v>7.5</v>
      </c>
      <c r="D45" s="10" t="n">
        <v>0</v>
      </c>
      <c r="E45" s="10" t="n">
        <v>2</v>
      </c>
      <c r="F45" s="10" t="n">
        <v>0</v>
      </c>
      <c r="G45" s="10" t="n">
        <v>0</v>
      </c>
      <c r="H45" s="10" t="n">
        <f aca="false">SUM(I45:M45)</f>
        <v>5.5</v>
      </c>
      <c r="I45" s="34" t="n">
        <v>2</v>
      </c>
      <c r="J45" s="34" t="n">
        <v>1</v>
      </c>
      <c r="K45" s="34" t="n">
        <v>1</v>
      </c>
      <c r="L45" s="34" t="n">
        <v>0</v>
      </c>
      <c r="M45" s="34" t="n">
        <v>1.5</v>
      </c>
    </row>
    <row r="46" customFormat="false" ht="15" hidden="false" customHeight="false" outlineLevel="0" collapsed="false">
      <c r="A46" s="8" t="s">
        <v>207</v>
      </c>
      <c r="B46" s="17" t="n">
        <v>46303</v>
      </c>
      <c r="C46" s="32" t="n">
        <f aca="false">SUM(D46:H46)</f>
        <v>7</v>
      </c>
      <c r="D46" s="10" t="n">
        <v>0</v>
      </c>
      <c r="E46" s="10" t="n">
        <v>4</v>
      </c>
      <c r="F46" s="10" t="n">
        <v>0</v>
      </c>
      <c r="G46" s="10" t="n">
        <v>1</v>
      </c>
      <c r="H46" s="10" t="n">
        <f aca="false">SUM(I46:M46)</f>
        <v>2</v>
      </c>
      <c r="I46" s="34" t="n">
        <v>0</v>
      </c>
      <c r="J46" s="34" t="n">
        <v>0</v>
      </c>
      <c r="K46" s="34" t="n">
        <v>1</v>
      </c>
      <c r="L46" s="34" t="n">
        <v>1</v>
      </c>
      <c r="M46" s="34" t="n">
        <v>0</v>
      </c>
    </row>
    <row r="47" customFormat="false" ht="15" hidden="false" customHeight="false" outlineLevel="0" collapsed="false">
      <c r="A47" s="31" t="s">
        <v>208</v>
      </c>
    </row>
  </sheetData>
  <sheetProtection sheet="true"/>
  <mergeCells count="2">
    <mergeCell ref="D28:F28"/>
    <mergeCell ref="I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209</v>
      </c>
    </row>
    <row r="3" customFormat="false" ht="15" hidden="false" customHeight="false" outlineLevel="0" collapsed="false">
      <c r="A3" s="2" t="s">
        <v>210</v>
      </c>
    </row>
    <row r="4" customFormat="false" ht="15" hidden="false" customHeight="false" outlineLevel="0" collapsed="false">
      <c r="A4" s="8" t="s">
        <v>211</v>
      </c>
      <c r="B4" s="36" t="n">
        <v>46304</v>
      </c>
    </row>
    <row r="5" customFormat="false" ht="15" hidden="false" customHeight="false" outlineLevel="0" collapsed="false">
      <c r="A5" s="8" t="s">
        <v>212</v>
      </c>
      <c r="B5" s="36" t="n">
        <v>46302</v>
      </c>
    </row>
    <row r="6" customFormat="false" ht="15" hidden="false" customHeight="false" outlineLevel="0" collapsed="false">
      <c r="A6" s="8" t="s">
        <v>2</v>
      </c>
      <c r="B6" s="36" t="n">
        <v>46308</v>
      </c>
    </row>
    <row r="7" customFormat="false" ht="15" hidden="false" customHeight="false" outlineLevel="0" collapsed="false">
      <c r="A7" s="8" t="s">
        <v>213</v>
      </c>
      <c r="B7" s="36" t="n">
        <v>46287</v>
      </c>
    </row>
    <row r="8" customFormat="false" ht="15" hidden="false" customHeight="false" outlineLevel="0" collapsed="false">
      <c r="A8" s="8" t="s">
        <v>214</v>
      </c>
      <c r="B8" s="36" t="n">
        <v>46307</v>
      </c>
    </row>
    <row r="10" customFormat="false" ht="15" hidden="false" customHeight="false" outlineLevel="0" collapsed="false">
      <c r="A10" s="2" t="s">
        <v>215</v>
      </c>
    </row>
    <row r="11" customFormat="false" ht="15" hidden="false" customHeight="false" outlineLevel="0" collapsed="false">
      <c r="A11" s="8" t="s">
        <v>216</v>
      </c>
      <c r="B11" s="16" t="s">
        <v>217</v>
      </c>
    </row>
    <row r="12" customFormat="false" ht="15" hidden="false" customHeight="false" outlineLevel="0" collapsed="false">
      <c r="A12" s="8" t="s">
        <v>218</v>
      </c>
      <c r="B12" s="16" t="s">
        <v>219</v>
      </c>
    </row>
    <row r="13" customFormat="false" ht="15" hidden="false" customHeight="false" outlineLevel="0" collapsed="false">
      <c r="A13" s="8" t="s">
        <v>220</v>
      </c>
      <c r="B13" s="16" t="s">
        <v>221</v>
      </c>
    </row>
    <row r="14" customFormat="false" ht="15" hidden="false" customHeight="false" outlineLevel="0" collapsed="false">
      <c r="A14" s="8" t="s">
        <v>222</v>
      </c>
      <c r="B14" s="16" t="s">
        <v>223</v>
      </c>
    </row>
    <row r="15" customFormat="false" ht="15" hidden="false" customHeight="false" outlineLevel="0" collapsed="false">
      <c r="A15" s="8" t="s">
        <v>224</v>
      </c>
      <c r="B15" s="16" t="s">
        <v>225</v>
      </c>
    </row>
    <row r="17" customFormat="false" ht="15" hidden="false" customHeight="false" outlineLevel="0" collapsed="false">
      <c r="A17" s="2" t="s">
        <v>226</v>
      </c>
    </row>
    <row r="18" customFormat="false" ht="15" hidden="false" customHeight="false" outlineLevel="0" collapsed="false">
      <c r="A18" s="8" t="s">
        <v>98</v>
      </c>
      <c r="B18" s="16" t="s">
        <v>227</v>
      </c>
    </row>
    <row r="19" customFormat="false" ht="15" hidden="false" customHeight="false" outlineLevel="0" collapsed="false">
      <c r="A19" s="8" t="s">
        <v>105</v>
      </c>
      <c r="B19" s="16" t="s">
        <v>228</v>
      </c>
    </row>
    <row r="20" customFormat="false" ht="15" hidden="false" customHeight="false" outlineLevel="0" collapsed="false">
      <c r="A20" s="8" t="s">
        <v>76</v>
      </c>
      <c r="B20" s="16" t="s">
        <v>229</v>
      </c>
    </row>
    <row r="21" customFormat="false" ht="15" hidden="false" customHeight="false" outlineLevel="0" collapsed="false">
      <c r="A21" s="8" t="s">
        <v>117</v>
      </c>
      <c r="B21" s="16" t="s">
        <v>230</v>
      </c>
    </row>
    <row r="23" customFormat="false" ht="15" hidden="false" customHeight="false" outlineLevel="0" collapsed="false">
      <c r="A23" s="2" t="s">
        <v>231</v>
      </c>
    </row>
    <row r="24" customFormat="false" ht="15" hidden="false" customHeight="false" outlineLevel="0" collapsed="false">
      <c r="A24" s="8" t="s">
        <v>88</v>
      </c>
      <c r="B24" s="16" t="s">
        <v>232</v>
      </c>
    </row>
    <row r="25" customFormat="false" ht="15" hidden="false" customHeight="false" outlineLevel="0" collapsed="false">
      <c r="A25" s="8" t="s">
        <v>233</v>
      </c>
      <c r="B25" s="16" t="s">
        <v>234</v>
      </c>
    </row>
    <row r="26" customFormat="false" ht="15" hidden="false" customHeight="false" outlineLevel="0" collapsed="false">
      <c r="A26" s="8" t="s">
        <v>235</v>
      </c>
      <c r="B26" s="16" t="s">
        <v>236</v>
      </c>
    </row>
    <row r="27" customFormat="false" ht="15" hidden="false" customHeight="false" outlineLevel="0" collapsed="false">
      <c r="A27" s="8" t="s">
        <v>237</v>
      </c>
      <c r="B27" s="16" t="s">
        <v>238</v>
      </c>
    </row>
    <row r="29" customFormat="false" ht="15" hidden="false" customHeight="false" outlineLevel="0" collapsed="false">
      <c r="A29" s="2" t="s">
        <v>239</v>
      </c>
    </row>
    <row r="30" customFormat="false" ht="15" hidden="false" customHeight="false" outlineLevel="0" collapsed="false">
      <c r="A30" s="8" t="s">
        <v>53</v>
      </c>
      <c r="B30" s="16" t="s">
        <v>240</v>
      </c>
    </row>
    <row r="31" customFormat="false" ht="15" hidden="false" customHeight="false" outlineLevel="0" collapsed="false">
      <c r="A31" s="8" t="s">
        <v>54</v>
      </c>
      <c r="B31" s="16" t="s">
        <v>241</v>
      </c>
    </row>
    <row r="32" customFormat="false" ht="15" hidden="false" customHeight="false" outlineLevel="0" collapsed="false">
      <c r="A32" s="8" t="s">
        <v>55</v>
      </c>
      <c r="B32" s="16" t="s">
        <v>242</v>
      </c>
    </row>
    <row r="33" customFormat="false" ht="15" hidden="false" customHeight="false" outlineLevel="0" collapsed="false">
      <c r="A33" s="8" t="s">
        <v>62</v>
      </c>
      <c r="B33" s="16" t="s">
        <v>243</v>
      </c>
    </row>
    <row r="34" customFormat="false" ht="15" hidden="false" customHeight="false" outlineLevel="0" collapsed="false">
      <c r="A34" s="8" t="s">
        <v>63</v>
      </c>
      <c r="B34" s="16" t="s">
        <v>244</v>
      </c>
    </row>
    <row r="36" customFormat="false" ht="15" hidden="false" customHeight="false" outlineLevel="0" collapsed="false">
      <c r="A36" s="2" t="s">
        <v>245</v>
      </c>
    </row>
    <row r="37" customFormat="false" ht="15" hidden="false" customHeight="false" outlineLevel="0" collapsed="false">
      <c r="A37" s="8" t="s">
        <v>246</v>
      </c>
      <c r="B37" s="16" t="s">
        <v>247</v>
      </c>
    </row>
    <row r="38" customFormat="false" ht="15" hidden="false" customHeight="false" outlineLevel="0" collapsed="false">
      <c r="A38" s="8" t="s">
        <v>70</v>
      </c>
      <c r="B38" s="16" t="s">
        <v>248</v>
      </c>
    </row>
    <row r="39" customFormat="false" ht="15" hidden="false" customHeight="false" outlineLevel="0" collapsed="false">
      <c r="A39" s="8" t="s">
        <v>249</v>
      </c>
      <c r="B39" s="16" t="s">
        <v>250</v>
      </c>
    </row>
    <row r="40" customFormat="false" ht="15" hidden="false" customHeight="false" outlineLevel="0" collapsed="false">
      <c r="A40" s="8" t="s">
        <v>251</v>
      </c>
      <c r="B40" s="16" t="s">
        <v>252</v>
      </c>
    </row>
    <row r="42" customFormat="false" ht="15" hidden="false" customHeight="false" outlineLevel="0" collapsed="false">
      <c r="A42" s="2" t="s">
        <v>253</v>
      </c>
    </row>
    <row r="43" customFormat="false" ht="15" hidden="false" customHeight="false" outlineLevel="0" collapsed="false">
      <c r="A43" s="8" t="s">
        <v>254</v>
      </c>
      <c r="B43" s="16" t="s">
        <v>255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2026-10-08T11:28:32Z</dcterms:created>
  <dc:creator>openpyxl</dc:creator>
  <dc:description/>
  <dc:language>en-US</dc:language>
  <cp:lastModifiedBy/>
  <dcterms:modified xsi:type="dcterms:W3CDTF">2026-10-08T13:28:34Z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